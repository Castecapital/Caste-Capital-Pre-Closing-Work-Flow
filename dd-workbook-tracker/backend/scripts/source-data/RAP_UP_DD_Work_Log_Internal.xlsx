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24226"/>
  <mc:AlternateContent xmlns:mc="http://schemas.openxmlformats.org/markup-compatibility/2006">
    <mc:Choice Requires="x15">
      <x15ac:absPath xmlns:x15ac="http://schemas.microsoft.com/office/spreadsheetml/2010/11/ac" url="https://castecapital365-my.sharepoint.com/personal/alex_castecapital_com/Documents/CC Shared Folder/2. Acquisitions/03. Prospective Deals/2025/Roxbury - Rap Up Apts/Due Diligence/"/>
    </mc:Choice>
  </mc:AlternateContent>
  <xr:revisionPtr revIDLastSave="0" documentId="8_{A7F8F413-8464-4287-BB75-37A35482F3C0}" xr6:coauthVersionLast="47" xr6:coauthVersionMax="47" xr10:uidLastSave="{00000000-0000-0000-0000-000000000000}"/>
  <bookViews>
    <workbookView xWindow="-28920" yWindow="630" windowWidth="29040" windowHeight="15720" tabRatio="825" xr2:uid="{01F94777-77A2-4389-A25E-7484B5A0AD4E}"/>
  </bookViews>
  <sheets>
    <sheet name="DD Full Checklist" sheetId="5" r:id="rId1"/>
    <sheet name="Internal - DD Request List" sheetId="2" r:id="rId2"/>
    <sheet name="HAP Assignment Checklist" sheetId="6" r:id="rId3"/>
    <sheet name="Lender Checklist" sheetId="7" r:id="rId4"/>
    <sheet name="Deal Team" sheetId="3" r:id="rId5"/>
    <sheet name="Cost Schedule" sheetId="4" r:id="rId6"/>
    <sheet name="External - DD List" sheetId="1" state="hidden" r:id="rId7"/>
  </sheets>
  <definedNames>
    <definedName name="_xlnm.Print_Area" localSheetId="5">'Cost Schedule'!$C$4:$X$28</definedName>
    <definedName name="_xlnm.Print_Area" localSheetId="0">'DD Full Checklist'!$B$2:$L$166</definedName>
    <definedName name="_xlnm.Print_Area" localSheetId="6">'External - DD List'!$B$2:$K$91</definedName>
    <definedName name="_xlnm.Print_Area" localSheetId="2">'HAP Assignment Checklist'!$A$1:$G$68</definedName>
    <definedName name="_xlnm.Print_Area" localSheetId="1">'Internal - DD Request List'!$B$2:$K$97</definedName>
    <definedName name="_xlnm.Print_Titles" localSheetId="0">'DD Full Checklist'!$2:$14</definedName>
    <definedName name="_xlnm.Print_Titles" localSheetId="6">'External - DD List'!$2:$5</definedName>
    <definedName name="_xlnm.Print_Titles" localSheetId="1">'Internal - DD Request List'!$2:$5</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0" i="5" l="1"/>
  <c r="G9" i="5"/>
  <c r="H9" i="5" s="1"/>
  <c r="N128" i="5"/>
  <c r="N129" i="5"/>
  <c r="N131" i="5"/>
  <c r="N132" i="5"/>
  <c r="N133" i="5"/>
  <c r="N161" i="5"/>
  <c r="J62" i="5"/>
  <c r="J63" i="5"/>
  <c r="J64" i="5"/>
  <c r="J68" i="5"/>
  <c r="J69" i="5"/>
  <c r="J70" i="5"/>
  <c r="J71" i="5"/>
  <c r="J72" i="5"/>
  <c r="J73" i="5"/>
  <c r="J74" i="5"/>
  <c r="I9" i="5" l="1"/>
  <c r="G12" i="5"/>
  <c r="G11" i="5"/>
  <c r="I49" i="5" s="1"/>
  <c r="H10" i="5"/>
  <c r="I10" i="5"/>
  <c r="G6" i="5"/>
  <c r="H6" i="5" s="1"/>
  <c r="I6" i="5" l="1"/>
  <c r="I38" i="5"/>
  <c r="I53" i="5" s="1"/>
  <c r="I5" i="5"/>
  <c r="I3" i="5"/>
  <c r="I4" i="5"/>
  <c r="N16" i="5"/>
  <c r="N17" i="5"/>
  <c r="N18" i="5"/>
  <c r="N22" i="5"/>
  <c r="N23" i="5"/>
  <c r="N24" i="5"/>
  <c r="N25" i="5"/>
  <c r="N29" i="5"/>
  <c r="N32" i="5"/>
  <c r="N33" i="5"/>
  <c r="N55" i="5"/>
  <c r="N56" i="5"/>
  <c r="N57" i="5"/>
  <c r="N59" i="5"/>
  <c r="N61" i="5"/>
  <c r="N64" i="5"/>
  <c r="N65" i="5"/>
  <c r="N67" i="5"/>
  <c r="N68" i="5"/>
  <c r="N69" i="5"/>
  <c r="N70" i="5"/>
  <c r="N71" i="5"/>
  <c r="N72" i="5"/>
  <c r="N73" i="5"/>
  <c r="N74" i="5"/>
  <c r="N76" i="5"/>
  <c r="N77" i="5"/>
  <c r="N78" i="5"/>
  <c r="N79" i="5"/>
  <c r="N80" i="5"/>
  <c r="N85" i="5"/>
  <c r="N86" i="5"/>
  <c r="N87" i="5"/>
  <c r="N88" i="5"/>
  <c r="N89" i="5"/>
  <c r="N91" i="5"/>
  <c r="N92" i="5"/>
  <c r="N93" i="5"/>
  <c r="N94" i="5"/>
  <c r="N95" i="5"/>
  <c r="N96" i="5"/>
  <c r="N97" i="5"/>
  <c r="N98" i="5"/>
  <c r="N99" i="5"/>
  <c r="N101" i="5"/>
  <c r="N102" i="5"/>
  <c r="N104" i="5"/>
  <c r="N105" i="5"/>
  <c r="N106" i="5"/>
  <c r="N107" i="5"/>
  <c r="N109" i="5"/>
  <c r="N110" i="5"/>
  <c r="N114" i="5"/>
  <c r="N115" i="5"/>
  <c r="N120" i="5"/>
  <c r="N122" i="5"/>
  <c r="N123" i="5"/>
  <c r="N124" i="5"/>
  <c r="N126" i="5"/>
  <c r="N127" i="5"/>
  <c r="N12" i="5"/>
  <c r="Q31" i="4"/>
  <c r="S31" i="4"/>
  <c r="P31" i="4"/>
  <c r="X27" i="4"/>
  <c r="W27" i="4"/>
  <c r="V27" i="4"/>
  <c r="U27" i="4"/>
  <c r="S27" i="4"/>
  <c r="Q27" i="4"/>
  <c r="P27" i="4"/>
  <c r="O27" i="4"/>
  <c r="J21" i="4"/>
  <c r="I15" i="4"/>
  <c r="K26" i="4"/>
  <c r="K27" i="4" s="1"/>
  <c r="I26" i="4"/>
  <c r="I27" i="4" s="1"/>
  <c r="S25" i="4"/>
  <c r="Q24" i="4"/>
  <c r="T16" i="4"/>
  <c r="F16" i="4"/>
  <c r="H16" i="4"/>
  <c r="L16" i="4"/>
  <c r="T12" i="4"/>
  <c r="Z12" i="4" s="1"/>
  <c r="L12" i="4"/>
  <c r="N27" i="5" l="1"/>
  <c r="N28" i="5"/>
  <c r="N21" i="5"/>
  <c r="N82" i="5"/>
  <c r="N35" i="5"/>
  <c r="N162" i="5"/>
  <c r="N163" i="5"/>
  <c r="N164" i="5"/>
  <c r="N165" i="5"/>
  <c r="N119" i="5"/>
  <c r="N53" i="5"/>
  <c r="N45" i="5"/>
  <c r="N103" i="5"/>
  <c r="N121" i="5"/>
  <c r="N62" i="5"/>
  <c r="N34" i="5"/>
  <c r="N90" i="5"/>
  <c r="N113" i="5"/>
  <c r="N111" i="5"/>
  <c r="N112" i="5"/>
  <c r="N63" i="5"/>
  <c r="N30" i="5"/>
  <c r="N125" i="5"/>
  <c r="N117" i="5"/>
  <c r="N60" i="5"/>
  <c r="N37" i="5"/>
  <c r="N54" i="5"/>
  <c r="N118" i="5"/>
  <c r="N116" i="5"/>
  <c r="N108" i="5"/>
  <c r="N100" i="5"/>
  <c r="N84" i="5"/>
  <c r="N50" i="5"/>
  <c r="N26" i="5"/>
  <c r="N31" i="5"/>
  <c r="N66" i="5"/>
  <c r="N48" i="5"/>
  <c r="Z16" i="4"/>
  <c r="T13" i="4" l="1"/>
  <c r="Q17" i="4"/>
  <c r="R20" i="4"/>
  <c r="E63" i="7" l="1"/>
  <c r="E8" i="7"/>
  <c r="E9" i="7" s="1"/>
  <c r="N36" i="5"/>
  <c r="R21" i="4"/>
  <c r="R18" i="4" l="1"/>
  <c r="S18" i="4"/>
  <c r="S14" i="4"/>
  <c r="R14" i="4"/>
  <c r="E64" i="7"/>
  <c r="E65" i="7" s="1"/>
  <c r="E10" i="7"/>
  <c r="L18" i="4"/>
  <c r="Z18" i="4" l="1"/>
  <c r="E13" i="7"/>
  <c r="R19" i="4"/>
  <c r="J134" i="5"/>
  <c r="J138" i="5"/>
  <c r="J126" i="5"/>
  <c r="J125" i="5"/>
  <c r="J123" i="5"/>
  <c r="J122" i="5"/>
  <c r="J121" i="5"/>
  <c r="J114" i="5"/>
  <c r="J110" i="5"/>
  <c r="J109" i="5"/>
  <c r="J108" i="5"/>
  <c r="J102" i="5"/>
  <c r="J101" i="5"/>
  <c r="J100" i="5"/>
  <c r="J99" i="5"/>
  <c r="J98" i="5"/>
  <c r="J96" i="5"/>
  <c r="J95" i="5"/>
  <c r="J94" i="5"/>
  <c r="J91" i="5"/>
  <c r="J92" i="5"/>
  <c r="J93" i="5"/>
  <c r="J88" i="5"/>
  <c r="J86" i="5"/>
  <c r="J85" i="5"/>
  <c r="Z19" i="4" l="1"/>
  <c r="E14" i="7"/>
  <c r="E15" i="7" s="1"/>
  <c r="L19" i="4"/>
  <c r="D88" i="2"/>
  <c r="D79" i="2"/>
  <c r="D66" i="2"/>
  <c r="D40" i="2"/>
  <c r="D30" i="2"/>
  <c r="D20" i="2"/>
  <c r="D15" i="2"/>
  <c r="D12" i="2"/>
  <c r="D13" i="2" s="1"/>
  <c r="D8" i="2"/>
  <c r="D7" i="2"/>
  <c r="D9" i="2" s="1"/>
  <c r="E16" i="7" l="1"/>
  <c r="D90" i="2"/>
  <c r="D91" i="2" s="1"/>
  <c r="D89" i="2"/>
  <c r="D80" i="2"/>
  <c r="D81" i="2"/>
  <c r="D82" i="2" s="1"/>
  <c r="D67" i="2"/>
  <c r="D68" i="2" s="1"/>
  <c r="D42" i="2"/>
  <c r="D43" i="2"/>
  <c r="D41" i="2"/>
  <c r="D31" i="2"/>
  <c r="D32" i="2" s="1"/>
  <c r="D21" i="2"/>
  <c r="D16" i="2"/>
  <c r="E17" i="7" l="1"/>
  <c r="D92" i="2"/>
  <c r="D84" i="2"/>
  <c r="D85" i="2" s="1"/>
  <c r="D83" i="2"/>
  <c r="D69" i="2"/>
  <c r="D45" i="2"/>
  <c r="D33" i="2"/>
  <c r="D35" i="2" s="1"/>
  <c r="D34" i="2"/>
  <c r="D23" i="2"/>
  <c r="D22" i="2"/>
  <c r="D18" i="2"/>
  <c r="D17" i="2"/>
  <c r="E18" i="7" l="1"/>
  <c r="D93" i="2"/>
  <c r="D94" i="2" s="1"/>
  <c r="D70" i="2"/>
  <c r="D46" i="2"/>
  <c r="D47" i="2"/>
  <c r="D48" i="2"/>
  <c r="D37" i="2"/>
  <c r="D36" i="2"/>
  <c r="D25" i="2"/>
  <c r="D27" i="2" s="1"/>
  <c r="D28" i="2" s="1"/>
  <c r="D24" i="2"/>
  <c r="D26" i="2" s="1"/>
  <c r="E21" i="7" l="1"/>
  <c r="D95" i="2"/>
  <c r="D96" i="2"/>
  <c r="D97" i="2" s="1"/>
  <c r="D71" i="2"/>
  <c r="D72" i="2" s="1"/>
  <c r="D49" i="2"/>
  <c r="E22" i="7" l="1"/>
  <c r="D73" i="2"/>
  <c r="D74" i="2" s="1"/>
  <c r="D50" i="2"/>
  <c r="D51" i="2" s="1"/>
  <c r="E23" i="7" l="1"/>
  <c r="D75" i="2"/>
  <c r="D76" i="2" s="1"/>
  <c r="D52" i="2"/>
  <c r="D53" i="2" s="1"/>
  <c r="D54" i="2" s="1"/>
  <c r="D55" i="2" s="1"/>
  <c r="D56" i="2" s="1"/>
  <c r="D57" i="2" s="1"/>
  <c r="D58" i="2" s="1"/>
  <c r="D59" i="2" s="1"/>
  <c r="D60" i="2" s="1"/>
  <c r="D61" i="2" s="1"/>
  <c r="D62" i="2" s="1"/>
  <c r="D63" i="2" s="1"/>
  <c r="E24" i="7" l="1"/>
  <c r="J25" i="4"/>
  <c r="T9" i="4"/>
  <c r="T11" i="4"/>
  <c r="T8" i="4"/>
  <c r="T10" i="4"/>
  <c r="T7" i="4"/>
  <c r="T6" i="4"/>
  <c r="J24" i="4"/>
  <c r="I14" i="4"/>
  <c r="I22" i="4"/>
  <c r="J22" i="4" s="1"/>
  <c r="T22" i="4" s="1"/>
  <c r="J23" i="4" l="1"/>
  <c r="T23" i="4" s="1"/>
  <c r="R15" i="4"/>
  <c r="S15" i="4"/>
  <c r="E27" i="7"/>
  <c r="L11" i="4"/>
  <c r="J26" i="4" l="1"/>
  <c r="J27" i="4" s="1"/>
  <c r="L23" i="4"/>
  <c r="E28" i="7"/>
  <c r="Z11" i="4"/>
  <c r="H4" i="5"/>
  <c r="H3" i="5"/>
  <c r="E29" i="7" l="1"/>
  <c r="E33" i="7" s="1"/>
  <c r="E34" i="7" s="1"/>
  <c r="E35" i="7" s="1"/>
  <c r="E36" i="7" s="1"/>
  <c r="E37" i="7" s="1"/>
  <c r="E38" i="7" s="1"/>
  <c r="E39" i="7" s="1"/>
  <c r="E40" i="7" s="1"/>
  <c r="E41" i="7" s="1"/>
  <c r="E42" i="7" s="1"/>
  <c r="E46" i="7" s="1"/>
  <c r="E47" i="7" s="1"/>
  <c r="E48" i="7" s="1"/>
  <c r="E49" i="7" s="1"/>
  <c r="E50" i="7" s="1"/>
  <c r="E51" i="7"/>
  <c r="E52" i="7" s="1"/>
  <c r="E53" i="7" s="1"/>
  <c r="E54" i="7" s="1"/>
  <c r="E55" i="7" s="1"/>
  <c r="E56" i="7" s="1"/>
  <c r="E57" i="7" s="1"/>
  <c r="E58" i="7" s="1"/>
  <c r="E59" i="7" s="1"/>
  <c r="E113" i="5"/>
  <c r="Z25" i="4" l="1"/>
  <c r="Z20" i="4"/>
  <c r="Z24" i="4"/>
  <c r="Z8" i="4"/>
  <c r="Z6" i="4"/>
  <c r="E128" i="5"/>
  <c r="E104" i="5"/>
  <c r="Z23" i="4"/>
  <c r="Z10" i="4"/>
  <c r="Z7" i="4"/>
  <c r="Z22" i="4"/>
  <c r="Z13" i="4"/>
  <c r="Z17" i="4"/>
  <c r="L21" i="4"/>
  <c r="L20" i="4"/>
  <c r="L25" i="4"/>
  <c r="L13" i="4"/>
  <c r="L9" i="4"/>
  <c r="L17" i="4"/>
  <c r="L15" i="4"/>
  <c r="L14" i="4"/>
  <c r="L24" i="4"/>
  <c r="L8" i="4"/>
  <c r="L10" i="4"/>
  <c r="L7" i="4"/>
  <c r="L6" i="4"/>
  <c r="L5" i="4"/>
  <c r="G9" i="4"/>
  <c r="G22" i="4" s="1"/>
  <c r="Z21" i="4" l="1"/>
  <c r="Z15" i="4"/>
  <c r="Z14" i="4"/>
  <c r="L22" i="4"/>
  <c r="P4" i="4" l="1"/>
  <c r="Q4" i="4" l="1"/>
  <c r="E115" i="5"/>
  <c r="E114" i="5"/>
  <c r="E112" i="5"/>
  <c r="E111" i="5"/>
  <c r="E103" i="5"/>
  <c r="E102" i="5"/>
  <c r="E101" i="5"/>
  <c r="E100" i="5"/>
  <c r="E99" i="5"/>
  <c r="E98" i="5"/>
  <c r="E97" i="5"/>
  <c r="E86" i="5"/>
  <c r="E87" i="5"/>
  <c r="E88" i="5"/>
  <c r="E85" i="5"/>
  <c r="E81" i="5"/>
  <c r="E82" i="5"/>
  <c r="E80" i="5"/>
  <c r="E96" i="5"/>
  <c r="E90" i="5"/>
  <c r="E91" i="5"/>
  <c r="E92" i="5"/>
  <c r="E93" i="5"/>
  <c r="E94" i="5"/>
  <c r="E95" i="5"/>
  <c r="E89" i="5"/>
  <c r="E143" i="5"/>
  <c r="E142" i="5"/>
  <c r="E134" i="5"/>
  <c r="E138" i="5"/>
  <c r="E139" i="5"/>
  <c r="E140" i="5"/>
  <c r="E141" i="5"/>
  <c r="E133" i="5"/>
  <c r="E125" i="5"/>
  <c r="E126" i="5"/>
  <c r="E124" i="5"/>
  <c r="E123" i="5"/>
  <c r="E122" i="5"/>
  <c r="E121" i="5"/>
  <c r="E120" i="5"/>
  <c r="E119" i="5"/>
  <c r="E118" i="5"/>
  <c r="E117" i="5"/>
  <c r="E116" i="5"/>
  <c r="E63" i="5"/>
  <c r="E64" i="5"/>
  <c r="E65" i="5"/>
  <c r="E66" i="5"/>
  <c r="E67" i="5"/>
  <c r="E68" i="5"/>
  <c r="E69" i="5"/>
  <c r="E70" i="5"/>
  <c r="E71" i="5"/>
  <c r="E72" i="5"/>
  <c r="E73" i="5"/>
  <c r="E74" i="5"/>
  <c r="E61" i="5"/>
  <c r="E62" i="5"/>
  <c r="E108" i="5"/>
  <c r="E109" i="5"/>
  <c r="E110" i="5"/>
  <c r="E154" i="5"/>
  <c r="E153" i="5"/>
  <c r="E152" i="5"/>
  <c r="E151" i="5"/>
  <c r="E150" i="5"/>
  <c r="E149" i="5"/>
  <c r="E148" i="5"/>
  <c r="E147" i="5"/>
  <c r="E146" i="5"/>
  <c r="E145" i="5"/>
  <c r="E144" i="5"/>
  <c r="E58" i="5"/>
  <c r="E60" i="5"/>
  <c r="E57" i="5"/>
  <c r="H5" i="5"/>
  <c r="G7" i="5" l="1"/>
  <c r="N41" i="5"/>
  <c r="N38" i="5"/>
  <c r="R4" i="4"/>
  <c r="D16" i="5"/>
  <c r="I52" i="5" l="1"/>
  <c r="N52" i="5" s="1"/>
  <c r="G8" i="5"/>
  <c r="I152" i="5"/>
  <c r="N152" i="5" s="1"/>
  <c r="I144" i="5"/>
  <c r="N144" i="5" s="1"/>
  <c r="I137" i="5"/>
  <c r="N137" i="5" s="1"/>
  <c r="I160" i="5"/>
  <c r="N160" i="5" s="1"/>
  <c r="I150" i="5"/>
  <c r="N150" i="5" s="1"/>
  <c r="I142" i="5"/>
  <c r="N142" i="5" s="1"/>
  <c r="I148" i="5"/>
  <c r="N148" i="5" s="1"/>
  <c r="I138" i="5"/>
  <c r="N138" i="5" s="1"/>
  <c r="I139" i="5"/>
  <c r="N139" i="5" s="1"/>
  <c r="I151" i="5"/>
  <c r="N151" i="5" s="1"/>
  <c r="I143" i="5"/>
  <c r="N143" i="5" s="1"/>
  <c r="I157" i="5"/>
  <c r="N157" i="5" s="1"/>
  <c r="I149" i="5"/>
  <c r="N149" i="5" s="1"/>
  <c r="I141" i="5"/>
  <c r="N141" i="5" s="1"/>
  <c r="I140" i="5"/>
  <c r="N140" i="5" s="1"/>
  <c r="I147" i="5"/>
  <c r="N147" i="5" s="1"/>
  <c r="I134" i="5"/>
  <c r="N134" i="5" s="1"/>
  <c r="I156" i="5"/>
  <c r="N156" i="5" s="1"/>
  <c r="I155" i="5"/>
  <c r="N155" i="5" s="1"/>
  <c r="I154" i="5"/>
  <c r="N154" i="5" s="1"/>
  <c r="I146" i="5"/>
  <c r="N146" i="5" s="1"/>
  <c r="I135" i="5"/>
  <c r="N135" i="5" s="1"/>
  <c r="I145" i="5"/>
  <c r="N145" i="5" s="1"/>
  <c r="N136" i="5"/>
  <c r="I153" i="5"/>
  <c r="N153" i="5" s="1"/>
  <c r="I75" i="5"/>
  <c r="N75" i="5" s="1"/>
  <c r="I81" i="5"/>
  <c r="N81" i="5" s="1"/>
  <c r="I58" i="5"/>
  <c r="N58" i="5" s="1"/>
  <c r="I39" i="5"/>
  <c r="N39" i="5" s="1"/>
  <c r="H12" i="5"/>
  <c r="I12" i="5"/>
  <c r="N40" i="5"/>
  <c r="I7" i="5"/>
  <c r="I19" i="5"/>
  <c r="N19" i="5" s="1"/>
  <c r="H7" i="5"/>
  <c r="S4" i="4"/>
  <c r="D17" i="5"/>
  <c r="H8" i="5" l="1"/>
  <c r="I8" i="5"/>
  <c r="H11" i="5"/>
  <c r="I11" i="5"/>
  <c r="T4" i="4"/>
  <c r="D18" i="5"/>
  <c r="U4" i="4" l="1"/>
  <c r="D19" i="5"/>
  <c r="D20" i="5" l="1"/>
  <c r="D21" i="5" s="1"/>
  <c r="V4" i="4"/>
  <c r="W4" i="4" l="1"/>
  <c r="D23" i="5"/>
  <c r="H5" i="4"/>
  <c r="F23" i="4" s="1"/>
  <c r="H23" i="4" s="1"/>
  <c r="F8" i="4" l="1"/>
  <c r="H8" i="4" s="1"/>
  <c r="F10" i="4"/>
  <c r="H10" i="4" s="1"/>
  <c r="W5" i="4"/>
  <c r="O5" i="4"/>
  <c r="P5" i="4"/>
  <c r="Q5" i="4"/>
  <c r="R5" i="4"/>
  <c r="S5" i="4"/>
  <c r="T5" i="4"/>
  <c r="U5" i="4"/>
  <c r="V5" i="4"/>
  <c r="X4" i="4"/>
  <c r="F6" i="4"/>
  <c r="F7" i="4"/>
  <c r="D24" i="5"/>
  <c r="X5" i="4" l="1"/>
  <c r="Z5" i="4" s="1"/>
  <c r="H6" i="4"/>
  <c r="H7" i="4"/>
  <c r="D25" i="5"/>
  <c r="D26" i="5" s="1"/>
  <c r="D27" i="5" s="1"/>
  <c r="D28" i="5" s="1"/>
  <c r="F18" i="4" l="1"/>
  <c r="H18" i="4" s="1"/>
  <c r="F12" i="4"/>
  <c r="H12" i="4" s="1"/>
  <c r="F11" i="4"/>
  <c r="H11" i="4" s="1"/>
  <c r="F19" i="4"/>
  <c r="H19" i="4" s="1"/>
  <c r="F20" i="4"/>
  <c r="F25" i="4"/>
  <c r="H25" i="4" s="1"/>
  <c r="F21" i="4"/>
  <c r="H21" i="4" s="1"/>
  <c r="F17" i="4"/>
  <c r="H17" i="4" s="1"/>
  <c r="F9" i="4"/>
  <c r="F15" i="4"/>
  <c r="F24" i="4"/>
  <c r="F14" i="4"/>
  <c r="F13" i="4"/>
  <c r="H13" i="4" s="1"/>
  <c r="H24" i="4" l="1"/>
  <c r="H9" i="4"/>
  <c r="F22" i="4"/>
  <c r="H14" i="4"/>
  <c r="O9" i="4"/>
  <c r="H20" i="4"/>
  <c r="H15" i="4"/>
  <c r="H22" i="4" l="1"/>
  <c r="D30" i="5"/>
  <c r="Z9" i="4" l="1"/>
  <c r="P26" i="4"/>
  <c r="R26" i="4"/>
  <c r="T26" i="4"/>
  <c r="T29" i="4" l="1"/>
  <c r="T27" i="4"/>
  <c r="R29" i="4"/>
  <c r="R27" i="4"/>
  <c r="P30" i="4"/>
  <c r="P29" i="4"/>
  <c r="X26" i="4"/>
  <c r="W26" i="4"/>
  <c r="V26" i="4"/>
  <c r="Q26" i="4"/>
  <c r="O26" i="4"/>
  <c r="U26" i="4"/>
  <c r="T30" i="4"/>
  <c r="T31" i="4" s="1"/>
  <c r="R30" i="4"/>
  <c r="R31" i="4" s="1"/>
  <c r="S26" i="4"/>
  <c r="D31" i="5"/>
  <c r="I4" i="2"/>
  <c r="D7" i="1"/>
  <c r="I4" i="1"/>
  <c r="Q30" i="4" l="1"/>
  <c r="Q29" i="4"/>
  <c r="S30" i="4"/>
  <c r="S29" i="4"/>
  <c r="Z26" i="4"/>
  <c r="D32" i="5"/>
  <c r="D8" i="1"/>
  <c r="D9" i="1"/>
  <c r="D12" i="1"/>
  <c r="Z27" i="4" l="1"/>
  <c r="D33" i="5"/>
  <c r="D34" i="5" s="1"/>
  <c r="D35" i="5" s="1"/>
  <c r="D36" i="5" s="1"/>
  <c r="D13" i="1"/>
  <c r="D37" i="5" l="1"/>
  <c r="D15" i="1"/>
  <c r="D14" i="1"/>
  <c r="D38" i="5" l="1"/>
  <c r="D39" i="5" s="1"/>
  <c r="D40" i="5" s="1"/>
  <c r="D14" i="2"/>
  <c r="D16" i="1"/>
  <c r="D41" i="5" l="1"/>
  <c r="D42" i="5" s="1"/>
  <c r="D18" i="1"/>
  <c r="D17" i="1"/>
  <c r="D43" i="5" l="1"/>
  <c r="D44" i="5" s="1"/>
  <c r="D45" i="5" s="1"/>
  <c r="D20" i="1"/>
  <c r="D46" i="5" l="1"/>
  <c r="D47" i="5" s="1"/>
  <c r="D48" i="5" s="1"/>
  <c r="D21" i="1"/>
  <c r="D22" i="1"/>
  <c r="D23" i="1" s="1"/>
  <c r="D24" i="1" s="1"/>
  <c r="D25" i="1" s="1"/>
  <c r="D26" i="1" s="1"/>
  <c r="D27" i="1" s="1"/>
  <c r="D28" i="1" s="1"/>
  <c r="D30" i="1" s="1"/>
  <c r="D31" i="1" s="1"/>
  <c r="D32" i="1" s="1"/>
  <c r="D33" i="1" s="1"/>
  <c r="D34" i="1" s="1"/>
  <c r="D35" i="1" s="1"/>
  <c r="D36" i="1" s="1"/>
  <c r="D38" i="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2" i="1" s="1"/>
  <c r="D63" i="1" s="1"/>
  <c r="D64" i="1" s="1"/>
  <c r="D65" i="1" s="1"/>
  <c r="D66" i="1" s="1"/>
  <c r="D67" i="1" s="1"/>
  <c r="D68" i="1" s="1"/>
  <c r="D69" i="1" s="1"/>
  <c r="D70" i="1" s="1"/>
  <c r="D71" i="1" s="1"/>
  <c r="D73" i="1" s="1"/>
  <c r="D74" i="1" s="1"/>
  <c r="D75" i="1" s="1"/>
  <c r="D76" i="1" s="1"/>
  <c r="D77" i="1" s="1"/>
  <c r="D78" i="1" s="1"/>
  <c r="D79" i="1" s="1"/>
  <c r="D49" i="5" l="1"/>
  <c r="D81" i="1"/>
  <c r="D82" i="1" s="1"/>
  <c r="D83" i="1" s="1"/>
  <c r="D84" i="1" s="1"/>
  <c r="D85" i="1" s="1"/>
  <c r="D86" i="1" s="1"/>
  <c r="D87" i="1" s="1"/>
  <c r="D88" i="1" s="1"/>
  <c r="D89" i="1" s="1"/>
  <c r="D90" i="1" s="1"/>
  <c r="D50" i="5" l="1"/>
  <c r="D51" i="5" s="1"/>
  <c r="D52" i="5" l="1"/>
  <c r="D53" i="5" s="1"/>
  <c r="D54" i="5" s="1"/>
  <c r="D55" i="5" s="1"/>
  <c r="D57" i="5" l="1"/>
  <c r="D58" i="5" s="1"/>
  <c r="D59" i="5" l="1"/>
  <c r="D60" i="5" s="1"/>
  <c r="D61" i="5" l="1"/>
  <c r="D62" i="5" s="1"/>
  <c r="D63" i="5" s="1"/>
  <c r="D64" i="5" s="1"/>
  <c r="D65" i="5" s="1"/>
  <c r="D66" i="5" s="1"/>
  <c r="D67" i="5" s="1"/>
  <c r="D68" i="5" s="1"/>
  <c r="D69" i="5" s="1"/>
  <c r="D70" i="5" l="1"/>
  <c r="D71" i="5" s="1"/>
  <c r="D72" i="5" s="1"/>
  <c r="D73" i="5" s="1"/>
  <c r="D74" i="5" s="1"/>
  <c r="D75" i="5" s="1"/>
  <c r="D76" i="5" s="1"/>
  <c r="D77" i="5" l="1"/>
  <c r="D78" i="5" s="1"/>
  <c r="D79" i="5" l="1"/>
  <c r="D80" i="5" l="1"/>
  <c r="D81" i="5" s="1"/>
  <c r="D82" i="5" s="1"/>
  <c r="D83" i="5" l="1"/>
  <c r="D84" i="5" s="1"/>
  <c r="D85" i="5" l="1"/>
  <c r="D86" i="5" s="1"/>
  <c r="D87" i="5" s="1"/>
  <c r="D88" i="5" s="1"/>
  <c r="D89" i="5" s="1"/>
  <c r="D90" i="5" s="1"/>
  <c r="D91" i="5" s="1"/>
  <c r="D92" i="5" s="1"/>
  <c r="D93" i="5" s="1"/>
  <c r="D94" i="5" s="1"/>
  <c r="D95" i="5" s="1"/>
  <c r="D96" i="5" s="1"/>
  <c r="D97" i="5" s="1"/>
  <c r="D98" i="5" s="1"/>
  <c r="D99" i="5" s="1"/>
  <c r="D100" i="5" s="1"/>
  <c r="D101" i="5" l="1"/>
  <c r="D102" i="5" s="1"/>
  <c r="D103" i="5" s="1"/>
  <c r="D104" i="5" s="1"/>
  <c r="D105" i="5" s="1"/>
  <c r="D106" i="5" s="1"/>
  <c r="D108" i="5" l="1"/>
  <c r="D109" i="5" s="1"/>
  <c r="D110" i="5" s="1"/>
  <c r="D111" i="5" l="1"/>
  <c r="D112" i="5" s="1"/>
  <c r="D113" i="5" l="1"/>
  <c r="D114" i="5" s="1"/>
  <c r="D115" i="5" s="1"/>
  <c r="D116" i="5" s="1"/>
  <c r="D117" i="5" s="1"/>
  <c r="D118" i="5" l="1"/>
  <c r="D119" i="5" s="1"/>
  <c r="D120" i="5" s="1"/>
  <c r="D121" i="5" l="1"/>
  <c r="D122" i="5" s="1"/>
  <c r="D123" i="5" s="1"/>
  <c r="D124" i="5" l="1"/>
  <c r="D125" i="5" s="1"/>
  <c r="D126" i="5" l="1"/>
  <c r="D127" i="5" s="1"/>
  <c r="D128" i="5" l="1"/>
  <c r="D129" i="5" s="1"/>
  <c r="D130" i="5" l="1"/>
  <c r="D131" i="5" l="1"/>
  <c r="D133" i="5" l="1"/>
  <c r="D134" i="5" s="1"/>
  <c r="D135" i="5" l="1"/>
  <c r="D136" i="5" s="1"/>
  <c r="D137" i="5" s="1"/>
  <c r="D138" i="5" s="1"/>
  <c r="D139" i="5" l="1"/>
  <c r="D140" i="5" s="1"/>
  <c r="D141" i="5" s="1"/>
  <c r="D142" i="5" s="1"/>
  <c r="D143" i="5" s="1"/>
  <c r="D144" i="5" s="1"/>
  <c r="D145" i="5" s="1"/>
  <c r="D146" i="5" s="1"/>
  <c r="D147" i="5" s="1"/>
  <c r="D148" i="5" s="1"/>
  <c r="D149" i="5" s="1"/>
  <c r="D150" i="5" s="1"/>
  <c r="D151" i="5" s="1"/>
  <c r="D152" i="5" s="1"/>
  <c r="D153" i="5" s="1"/>
  <c r="D154" i="5" s="1"/>
  <c r="D155" i="5" s="1"/>
  <c r="D156" i="5" s="1"/>
  <c r="D157" i="5" l="1"/>
  <c r="D158" i="5" l="1"/>
  <c r="D159" i="5" s="1"/>
  <c r="D160" i="5" s="1"/>
  <c r="D162" i="5" l="1"/>
  <c r="D163" i="5" s="1"/>
  <c r="D164" i="5" s="1"/>
  <c r="D16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Bode</author>
  </authors>
  <commentList>
    <comment ref="G5" authorId="0" shapeId="0" xr:uid="{F6204196-816E-433A-900C-A4A6925A6F14}">
      <text>
        <r>
          <rPr>
            <b/>
            <sz val="9"/>
            <color indexed="81"/>
            <rFont val="Tahoma"/>
            <family val="2"/>
          </rPr>
          <t>Bode:</t>
        </r>
        <r>
          <rPr>
            <sz val="9"/>
            <color indexed="81"/>
            <rFont val="Tahoma"/>
            <family val="2"/>
          </rPr>
          <t xml:space="preserve">
THIS PURCHASE AND SALE AGREEMENT (this “Agreement”) is made and entered
into as of the 20th day of March, 2026 (the “Effective Date”),</t>
        </r>
      </text>
    </comment>
    <comment ref="G7" authorId="0" shapeId="0" xr:uid="{EEFC8FE5-B53B-4326-88A3-D98385F45F03}">
      <text>
        <r>
          <rPr>
            <b/>
            <sz val="9"/>
            <color indexed="81"/>
            <rFont val="Tahoma"/>
            <family val="2"/>
          </rPr>
          <t>Bode:</t>
        </r>
        <r>
          <rPr>
            <sz val="9"/>
            <color indexed="81"/>
            <rFont val="Tahoma"/>
            <family val="2"/>
          </rPr>
          <t xml:space="preserve">
Purchaser shall have until 5:00 PM on that date which is sixty (60) days
after the Effective Date (such period being referred to herein as the “Investigation Period”), to</t>
        </r>
      </text>
    </comment>
  </commentList>
</comments>
</file>

<file path=xl/sharedStrings.xml><?xml version="1.0" encoding="utf-8"?>
<sst xmlns="http://schemas.openxmlformats.org/spreadsheetml/2006/main" count="1579" uniqueCount="598">
  <si>
    <t>PROJECT TEAM KICKOFF CHECKLIST</t>
  </si>
  <si>
    <t>KEY DATES</t>
  </si>
  <si>
    <t>DAYS REMAINING</t>
  </si>
  <si>
    <t>Days Passed</t>
  </si>
  <si>
    <t>RAP UP Portfolio, Roxbury, MA</t>
  </si>
  <si>
    <t>LOI executed</t>
  </si>
  <si>
    <t>Seller deadline to sent DD request</t>
  </si>
  <si>
    <t>Initial Deposit ($50K)</t>
  </si>
  <si>
    <t>Rollover TS</t>
  </si>
  <si>
    <t>End of DD / 2nd Deposit ($150K)</t>
  </si>
  <si>
    <t>Buyer to send JV OA</t>
  </si>
  <si>
    <t>Seller to confirm Rollover terms</t>
  </si>
  <si>
    <t>Projected HUD Approval</t>
  </si>
  <si>
    <t>Projected Closing</t>
  </si>
  <si>
    <t>Outside Closing Date</t>
  </si>
  <si>
    <t>DIV Folder</t>
  </si>
  <si>
    <t>Item #</t>
  </si>
  <si>
    <t>Action Item</t>
  </si>
  <si>
    <t>Status</t>
  </si>
  <si>
    <t>Responsible Party</t>
  </si>
  <si>
    <t>External Party</t>
  </si>
  <si>
    <t>Outside Date</t>
  </si>
  <si>
    <t>CC Comment</t>
  </si>
  <si>
    <t>Partner Comment</t>
  </si>
  <si>
    <t>Days Remaining</t>
  </si>
  <si>
    <t>Equity Financing</t>
  </si>
  <si>
    <t>Create Investor log/tracker</t>
  </si>
  <si>
    <t>Closed</t>
  </si>
  <si>
    <t>PK</t>
  </si>
  <si>
    <t>Ongoing</t>
  </si>
  <si>
    <t>INTERNAL</t>
  </si>
  <si>
    <t>Draft initial investor email</t>
  </si>
  <si>
    <t xml:space="preserve">Set up Smallchange account </t>
  </si>
  <si>
    <t>$10k set up fee + 7% success fee</t>
  </si>
  <si>
    <t>Finalize and confirm special GP Investor roster</t>
  </si>
  <si>
    <t>Open</t>
  </si>
  <si>
    <t>Discuss funding of 2% UPB. Send out this week. Drop individual signature blocks for individuals</t>
  </si>
  <si>
    <t>Confirm special co-GP AMF approach</t>
  </si>
  <si>
    <t>BA</t>
  </si>
  <si>
    <t>CC internal to discuss before sending materials</t>
  </si>
  <si>
    <t>Finalize Caste investment OM</t>
  </si>
  <si>
    <t xml:space="preserve">Update OM with latest financials/deal </t>
  </si>
  <si>
    <t>Debt Financing</t>
  </si>
  <si>
    <t>Draft list of prospective lenders to send materials</t>
  </si>
  <si>
    <t>AS</t>
  </si>
  <si>
    <t>TBC</t>
  </si>
  <si>
    <t>Create Lender OM - updated Model, S+U, OM, Rent Roll</t>
  </si>
  <si>
    <t>Update as more recent DD materials come in</t>
  </si>
  <si>
    <t>Create Lender tracker</t>
  </si>
  <si>
    <t>See Teams</t>
  </si>
  <si>
    <t>Provide feedback on loan options and impacts to business plan</t>
  </si>
  <si>
    <t>Jacques</t>
  </si>
  <si>
    <t>Going back to NM and WD for best and final</t>
  </si>
  <si>
    <t>W&amp; D UW DD CHECKLIST</t>
  </si>
  <si>
    <t>Received. Send relevant items to UHM. Schedule call to discuss updated financials &amp; A/R.</t>
  </si>
  <si>
    <t>W&amp;D: PCA/ESA/PLAN &amp; COST CHECKLIST</t>
  </si>
  <si>
    <t>Received. CC sent the materials needed. UHM must complete pipe work bbefore we close</t>
  </si>
  <si>
    <t xml:space="preserve">Legal - Transaction </t>
  </si>
  <si>
    <t>Draft, review and execute PSA</t>
  </si>
  <si>
    <t>Nixon</t>
  </si>
  <si>
    <t>Executed 3/20</t>
  </si>
  <si>
    <t>Run down cost estimates for all Goodwin legal</t>
  </si>
  <si>
    <t>Goodwin</t>
  </si>
  <si>
    <t>$2,900. To confirm on timing. Bank account is opened</t>
  </si>
  <si>
    <t>Confirm if Menkiti drafting GP JVA</t>
  </si>
  <si>
    <t>MG</t>
  </si>
  <si>
    <t>MG drafting</t>
  </si>
  <si>
    <t>Confirm if Menkiti drafting LPA (Co-GPs and OCF)</t>
  </si>
  <si>
    <t>Set up JV OA: (CC, MG, OCF LP)</t>
  </si>
  <si>
    <t>MG, Goodwin</t>
  </si>
  <si>
    <t>Discussing with Seller</t>
  </si>
  <si>
    <t>HUD needs draft. CC decide on date needed by</t>
  </si>
  <si>
    <t>Set GP OA: (CC, MG)</t>
  </si>
  <si>
    <t>MG drafting. Awaiting first draft</t>
  </si>
  <si>
    <t>Set up Caste OA: (CC Partners, Special Co-GP)</t>
  </si>
  <si>
    <t>Document has been finalized</t>
  </si>
  <si>
    <t>Set up RAP UP Partners LLC deal (CC Partners)</t>
  </si>
  <si>
    <t>Register entity in DA. Bank needs OA, EIN, articles of incorp. DS to circulate final doc. PK to set up entity</t>
  </si>
  <si>
    <t>Escrow $50K Deposit at PSA execution</t>
  </si>
  <si>
    <t>Escrow $150K Deposit at DD exit</t>
  </si>
  <si>
    <t>Draft / Review PMA</t>
  </si>
  <si>
    <t>DS</t>
  </si>
  <si>
    <t>Nixon/MG</t>
  </si>
  <si>
    <t xml:space="preserve">Finalizing remaining language. </t>
  </si>
  <si>
    <t>Release Murphy Consulting on HUD 2530 Clearance</t>
  </si>
  <si>
    <t>MG / Murphy</t>
  </si>
  <si>
    <t xml:space="preserve">In waiting mode. </t>
  </si>
  <si>
    <t>Confirm EOHLC's waiver</t>
  </si>
  <si>
    <t>Received 40T exemption letter on 7/13</t>
  </si>
  <si>
    <t>Lender requires No more than 3 units vacant for 90 days before closing - send message to UHM</t>
  </si>
  <si>
    <t>Send Murphy Requested Information</t>
  </si>
  <si>
    <t>Sent 3.18.26</t>
  </si>
  <si>
    <t>Review list of deliverables for HUD 2530 Clearance</t>
  </si>
  <si>
    <t>MG is running point.</t>
  </si>
  <si>
    <t>Send Walker &amp; Dunlop PFS</t>
  </si>
  <si>
    <t>CC/MG completed 3/20</t>
  </si>
  <si>
    <t>Send Walker &amp; Dunlop REO</t>
  </si>
  <si>
    <t>Review Loan Docs</t>
  </si>
  <si>
    <t>Call with MG Wed and Alex R on Friday morning</t>
  </si>
  <si>
    <t>Confirm Menkiti can fund Lender Deposit the week of close</t>
  </si>
  <si>
    <t>Revert back in July</t>
  </si>
  <si>
    <t>Engage with Seller to complete 40T process</t>
  </si>
  <si>
    <t>Alex R (Nixon) working with confirm Ross (Seller) to submit. Ross has submitted</t>
  </si>
  <si>
    <t>HAP Application</t>
  </si>
  <si>
    <t>Still need to submit: Deed (DS working to follow up with Seller on updated language), Property Management Agreement (sending to Kelly today)</t>
  </si>
  <si>
    <t>Draft Rollover Term Sheet (eg JV OA)</t>
  </si>
  <si>
    <t>Finalize pre-dev/deposit funding structure agreement</t>
  </si>
  <si>
    <t>PSA executed. Caste to send ASAP</t>
  </si>
  <si>
    <t>Review existing HAP Contract and prepare Assumption</t>
  </si>
  <si>
    <t>Nixon, Jacques</t>
  </si>
  <si>
    <t>Ask Nixon for copy of HAP contract and exhibits</t>
  </si>
  <si>
    <t>Send Darryl finalized DD External list (within 3 days of LOI execution)</t>
  </si>
  <si>
    <t>Physical DD + CapEx Plan</t>
  </si>
  <si>
    <t>EBI released on 3/20. EBI will use drones to review roof due to inability to safely access roof during DD.</t>
  </si>
  <si>
    <t>Confirm HUD reqs with Nixon/Lenders (e.g. need PCR or CNA?)</t>
  </si>
  <si>
    <t>DS/AS</t>
  </si>
  <si>
    <t>Need both PCR and HUD blessed CNA</t>
  </si>
  <si>
    <t>there is an existing roof report (Feb '25)</t>
  </si>
  <si>
    <t>Not typically required by lender.  No existing reports available</t>
  </si>
  <si>
    <t>Under acct # for all props and ensure they're active/any open payables</t>
  </si>
  <si>
    <t>Review draft CAPEX budget - Base Building and Units</t>
  </si>
  <si>
    <t>UHM to provide responses to CC/MG follow up questions on CAPEX/OPEX</t>
  </si>
  <si>
    <t>Prepare questions, recommendations for CC to discuss with APR</t>
  </si>
  <si>
    <t>Let Seller know we need to be on all RCS communications</t>
  </si>
  <si>
    <t>Tour portfolio and review draft Rent Comp Study w/ APR</t>
  </si>
  <si>
    <t>Toured on 1/15 w/ Frank Molis (APR).</t>
  </si>
  <si>
    <t>Pay APR for the RCS</t>
  </si>
  <si>
    <t>AS/BA</t>
  </si>
  <si>
    <t>Draft is FINAL until signed before closing.</t>
  </si>
  <si>
    <t>DONE</t>
  </si>
  <si>
    <t>Lot L Tax Issue</t>
  </si>
  <si>
    <t>Redemption of tax taking to be recorded by Seller prior to closing.</t>
  </si>
  <si>
    <t>Zoning certification</t>
  </si>
  <si>
    <t>Lender requires zoning cert. Sam at Nixon is getting ($400/property)</t>
  </si>
  <si>
    <t>Feldman will confirm as part of ALTA work. Not a req from Northmarq</t>
  </si>
  <si>
    <t>EBI released 3/20. Finalized</t>
  </si>
  <si>
    <t>CC</t>
  </si>
  <si>
    <t>UHM</t>
  </si>
  <si>
    <t>Finalized and submitted to HUD</t>
  </si>
  <si>
    <t>Finalize pre-dev budget costs</t>
  </si>
  <si>
    <t>Latest sent on 4/1</t>
  </si>
  <si>
    <t>Prepare microsoft GANTT chart from DD to closing</t>
  </si>
  <si>
    <t>Property Management DD</t>
  </si>
  <si>
    <t>Intro call on 1/21. Held pre-DD prelim calls to discuss MOR/AR &amp; delinquencies, 2026 budget, 2025 actuals. Walk through set for 4/17</t>
  </si>
  <si>
    <t>DS/BA</t>
  </si>
  <si>
    <t>Jacques + CC reviewed. Discussed with UHM on 1/29</t>
  </si>
  <si>
    <t xml:space="preserve">CC to review. Need to read in person as PDF is ineligible. AS to abstract </t>
  </si>
  <si>
    <t>Get sample audit of UHM files with UpLvL</t>
  </si>
  <si>
    <t>UpLVL declined</t>
  </si>
  <si>
    <t>Have RCS from 2020. Confirm if any other RCS available. Received draft RCS supporting underwritten rents.</t>
  </si>
  <si>
    <t>Review UHM tenant selection plan and Affordable Fair market housing plan (AFMHP)</t>
  </si>
  <si>
    <t>Set up weekly meeting with UHM team to discuss</t>
  </si>
  <si>
    <t>JVA to prepare summary of findings on review of UHM</t>
  </si>
  <si>
    <t>Materials sent; MG reviewing</t>
  </si>
  <si>
    <t>Property Financial DD</t>
  </si>
  <si>
    <t>Submit/get property insurance quotes for RAP</t>
  </si>
  <si>
    <t>McGriff  - Property Insurance. Getting pricing this week. W&amp;D is reviewing Freddie reqs on what is needed that is differenet from inplace policy. In-place works for Freddie.</t>
  </si>
  <si>
    <t>Cross Insurance - confirm in-place meets Freddie</t>
  </si>
  <si>
    <t>Confirmed 7/3</t>
  </si>
  <si>
    <t>Cross Insurance - provide standalone quote</t>
  </si>
  <si>
    <t>Continue to track</t>
  </si>
  <si>
    <t>Met on 1/30 to review with UHM. Review cleaned budget Jeff Caputi sent on 3/11</t>
  </si>
  <si>
    <t>BA/DS</t>
  </si>
  <si>
    <t>Reach out to Ryan Tax for property tax analysis; confirm pricing</t>
  </si>
  <si>
    <t>$2,000 for full portfolio. Ryan can kick invoice to sale. Sent latest estimates on 5/18</t>
  </si>
  <si>
    <t>Provide cost cutting recommends to CC</t>
  </si>
  <si>
    <t>Schedule call to review financials with Seller/UHM post initial DD review</t>
  </si>
  <si>
    <t>HUD Withdrawl Request for CAPEX Reserve</t>
  </si>
  <si>
    <t>Nixon is preparing request forms. Will be confirmed closer to closing</t>
  </si>
  <si>
    <t>HUD Suspension Request for CAPEX Reserve</t>
  </si>
  <si>
    <t>To be submitted after Withdrawal request is approved.  Requires confirmation of Lender reserve amount.</t>
  </si>
  <si>
    <t>Finalize base case underwriting model</t>
  </si>
  <si>
    <t>ASSET MANAGEMENT</t>
  </si>
  <si>
    <t>Create 'Property Folder' in share drive</t>
  </si>
  <si>
    <t>Extract Acquisition DD files and add to Prop. Folder</t>
  </si>
  <si>
    <t>Set up weekly Project Team meetings</t>
  </si>
  <si>
    <t>Closing Model into AM Template (inc. Bridge)</t>
  </si>
  <si>
    <t>still need</t>
  </si>
  <si>
    <t>DUE DILIGENCE REQUEST LIST</t>
  </si>
  <si>
    <t>UPDATED AS OF:</t>
  </si>
  <si>
    <t>RAP UP Portfolio</t>
  </si>
  <si>
    <t>Document</t>
  </si>
  <si>
    <t>Department</t>
  </si>
  <si>
    <t>DIV Comment</t>
  </si>
  <si>
    <t>Notes</t>
  </si>
  <si>
    <t>LEASING &amp; MARKETING</t>
  </si>
  <si>
    <t>Review Residential Leases &amp; House Rules</t>
  </si>
  <si>
    <t>Leasing / Marketing</t>
  </si>
  <si>
    <r>
      <rPr>
        <sz val="11"/>
        <color rgb="FF000000"/>
        <rFont val="Calibri"/>
        <family val="2"/>
        <scheme val="minor"/>
      </rPr>
      <t xml:space="preserve">Rec'd House Rules, Form Lease, need all leases, </t>
    </r>
    <r>
      <rPr>
        <sz val="11"/>
        <color rgb="FFFF0000"/>
        <rFont val="Calibri"/>
        <family val="2"/>
        <scheme val="minor"/>
      </rPr>
      <t>LEASES ON SITE NEED TO REVIEW</t>
    </r>
  </si>
  <si>
    <t>Review License Agreements (if applicable)</t>
  </si>
  <si>
    <t>Seller: N/A</t>
  </si>
  <si>
    <t>Review Indemnities (if applicable)</t>
  </si>
  <si>
    <t>PHYSICAL / PROPERTY</t>
  </si>
  <si>
    <t>Title and Zoning review</t>
  </si>
  <si>
    <t>Development</t>
  </si>
  <si>
    <t>ALTA Survey</t>
  </si>
  <si>
    <t xml:space="preserve">Title Commitment </t>
  </si>
  <si>
    <t>Owners &amp; Lender Policy</t>
  </si>
  <si>
    <t>Deleted</t>
  </si>
  <si>
    <t>All City/State permits</t>
  </si>
  <si>
    <t>Easement Documents (if applicable)</t>
  </si>
  <si>
    <t>Confirm FEMA Flood Vulnerable Status</t>
  </si>
  <si>
    <t>Permits Required for Property Operation (e.g. flammable fuel storage)</t>
  </si>
  <si>
    <t>Environmental Information review</t>
  </si>
  <si>
    <t>Phase 1 ESA</t>
  </si>
  <si>
    <t>Hazardous Materials report</t>
  </si>
  <si>
    <t>Geotechnical soils report</t>
  </si>
  <si>
    <t>Lead abatement/compliance report</t>
  </si>
  <si>
    <t>Received</t>
  </si>
  <si>
    <t>Letter of Full Deleading Compliance, 11/17/1998</t>
  </si>
  <si>
    <t>Mold reports/remediation</t>
  </si>
  <si>
    <t>Indoor air quality reports</t>
  </si>
  <si>
    <t>Water intrusion/moisture issues</t>
  </si>
  <si>
    <t>Request Drawings + confirm building Specs</t>
  </si>
  <si>
    <t>Site Plans/Building Plans / Construction Plans / As-Builts</t>
  </si>
  <si>
    <t>Building Permits</t>
  </si>
  <si>
    <t>Certificates of Occupancy</t>
  </si>
  <si>
    <t>Received all but one. 63 Lambert does not exist.  See Zoning Cert from Title Company's attorney. CC to decide whether to clean up post-closing</t>
  </si>
  <si>
    <t>Building areas - Building GSF, Unit RSF's</t>
  </si>
  <si>
    <t>REAC reports and scores from prior 3 years</t>
  </si>
  <si>
    <t>Rec'd 2025, Seller: Only one score from past 5 years</t>
  </si>
  <si>
    <t>Capital Needs Assessment</t>
  </si>
  <si>
    <t>2021, Seller: CNA good for 10 years</t>
  </si>
  <si>
    <t>Keith Construction budget</t>
  </si>
  <si>
    <t>PROPERTY MANAGEMENT</t>
  </si>
  <si>
    <t>Schedule calls with UHM to review (DD materials, budget). Walk property with onsite team</t>
  </si>
  <si>
    <t>2026 Operating Budget</t>
  </si>
  <si>
    <t>Prop Mgmt</t>
  </si>
  <si>
    <t>Management &amp; Occupancy Review past 3 years</t>
  </si>
  <si>
    <t>Received 2023 and 2025; No 2024 report exists</t>
  </si>
  <si>
    <t>Personal Property Inventory</t>
  </si>
  <si>
    <t>Photographs</t>
  </si>
  <si>
    <t>Engage Property Inspection Firm for full property review</t>
  </si>
  <si>
    <t>Physical Reports / Property Condition Reports</t>
  </si>
  <si>
    <t>Roof Reports/Repairs/Maintenance</t>
  </si>
  <si>
    <t xml:space="preserve">Open </t>
  </si>
  <si>
    <r>
      <rPr>
        <sz val="11"/>
        <color rgb="FF000000"/>
        <rFont val="Calibri"/>
        <family val="2"/>
        <scheme val="minor"/>
      </rPr>
      <t xml:space="preserve">Feb 2025 inspection reports for all roofs. No R&amp;M info. </t>
    </r>
    <r>
      <rPr>
        <sz val="11"/>
        <color rgb="FFFF0000"/>
        <rFont val="Calibri"/>
        <family val="2"/>
        <scheme val="minor"/>
      </rPr>
      <t>Seller: Requested</t>
    </r>
  </si>
  <si>
    <t>Structural &amp; Seismic Reports</t>
  </si>
  <si>
    <t>Work Orders/PM Logs (HVAC, R&amp;M, Roof, etc.)</t>
  </si>
  <si>
    <t>Rec'd Detailed Worklog 1/1-1/12, Summary 2025.  UHM is working with IT to get detailed log for 2025.</t>
  </si>
  <si>
    <t>Service Agreements (list)</t>
  </si>
  <si>
    <t>Received: pest control, snow removal and janitorial. No others</t>
  </si>
  <si>
    <t>Warranties (list)</t>
  </si>
  <si>
    <t>Vendor Contact List</t>
  </si>
  <si>
    <t>Utility Account Numbers List &amp; Identification</t>
  </si>
  <si>
    <t>Utility Allowance Schedule</t>
  </si>
  <si>
    <t>Special Claims History</t>
  </si>
  <si>
    <t>Repayment Agreements (if any)</t>
  </si>
  <si>
    <t>VAWA Transfer Log (if applicable)</t>
  </si>
  <si>
    <t>Reasonable Accomodation Request Log (if applicable)</t>
  </si>
  <si>
    <t>Fire Escape (5 year certs)</t>
  </si>
  <si>
    <t>HVAC Unit Inventory and Description</t>
  </si>
  <si>
    <t>Infra-red/Thermographic Scan</t>
  </si>
  <si>
    <t>AFFORDABLE</t>
  </si>
  <si>
    <t>Review UHM's in-place management process</t>
  </si>
  <si>
    <t>Sample 50059 files including one current resident with recertification and one former tenant</t>
  </si>
  <si>
    <t>Original HAP Contract</t>
  </si>
  <si>
    <t>HAP Billing Files (HUD 52670A) - YTD and prior year</t>
  </si>
  <si>
    <t>Tenant Selection Plan</t>
  </si>
  <si>
    <t>Affirmative Fair Housing Marketing Plan</t>
  </si>
  <si>
    <t>Document says existing plan expired 1/31/2021. Latest plan per UHM</t>
  </si>
  <si>
    <t>Enterprise Income Verification (EIV) Master File</t>
  </si>
  <si>
    <t>Requires HUD approval, need update from UHM</t>
  </si>
  <si>
    <t>Extended Use Agreement (if applicable)</t>
  </si>
  <si>
    <t>Current Waitlist</t>
  </si>
  <si>
    <t>Dated 1/6/26</t>
  </si>
  <si>
    <t>Recent Management and Occupancy Review (MOR) reports from last 3 years</t>
  </si>
  <si>
    <t>Date of report is 8/18/25 but document says expiration 4/30/2018? Please confirm there were no other MORs completed under current ownership. And confirm the difference between this document and (29) MOR. This is a typo - these reports don't expire; The report in this folder should be with the other MOR reports</t>
  </si>
  <si>
    <t>Any non-compliance agency or audit findings from last 3 years</t>
  </si>
  <si>
    <t>Most recent RCS &amp; any relevant information provided; General update to progress of new RCS</t>
  </si>
  <si>
    <t xml:space="preserve">In progress, Contract with CC. </t>
  </si>
  <si>
    <t>LEGAL, INSURANCE AND TAX DOCUMENTS</t>
  </si>
  <si>
    <t>Review of Property Tax, Legal, Insurance docs</t>
  </si>
  <si>
    <t>Insurance Policies/Summary Docs/Exclusions</t>
  </si>
  <si>
    <t>Legal/Ins/Tax</t>
  </si>
  <si>
    <t>GNY GL, Excess Policy from GNY &amp; AXIS. Expires 10/2026, Travelers Property Insurance</t>
  </si>
  <si>
    <t>Summary of Litigation Pending or in Progress</t>
  </si>
  <si>
    <t>5 tenants pending litigation</t>
  </si>
  <si>
    <t>Summary of Outstanding Insurance Claims</t>
  </si>
  <si>
    <t>None</t>
  </si>
  <si>
    <t>Tax Appeals / Reduction History</t>
  </si>
  <si>
    <t>Tax Bills YTD + 3 prior years (including unsecured personal property)</t>
  </si>
  <si>
    <t>2025: Only Q2 and Q3 provided?
2024: Only Q1 and Q3 provided?
2023: Only Q3 provided?
2022: Only Q4 provided?</t>
  </si>
  <si>
    <t>Total Insured Value (TIV) / Claims and Loss History - prior 3 years</t>
  </si>
  <si>
    <t>Property Management Agreement</t>
  </si>
  <si>
    <t>ACCOUNTING / FINANCE</t>
  </si>
  <si>
    <t>Review Historical Financials (Accounting/Finance)</t>
  </si>
  <si>
    <t>Aged Receivable / Delinquency Report YTD (update if available) + 3 prior years</t>
  </si>
  <si>
    <t>Accounting</t>
  </si>
  <si>
    <t>2023,2024, 2025, YTD thru 1/5</t>
  </si>
  <si>
    <t>Appraisals</t>
  </si>
  <si>
    <t>Detailed Operating Budget YTD + 3 prior years</t>
  </si>
  <si>
    <t>Capital Expenditures - Historical (3 prior years) &amp; 2026 Budget</t>
  </si>
  <si>
    <t>Deferred Maintenance</t>
  </si>
  <si>
    <t>Rent Statements YTD + 3 prior years</t>
  </si>
  <si>
    <t>2023, 2024, 2025</t>
  </si>
  <si>
    <t>Security Deposits Schedule</t>
  </si>
  <si>
    <t>Tenant Billing Register YTD + 3 prior years</t>
  </si>
  <si>
    <t>Utility Bills - 12 months</t>
  </si>
  <si>
    <t>Vendor Bills - 3 prior years</t>
  </si>
  <si>
    <t>HAP Assignment Checklist (with HUD Exhibit 2 items)</t>
  </si>
  <si>
    <t xml:space="preserve">General Information </t>
  </si>
  <si>
    <t xml:space="preserve">Name: </t>
  </si>
  <si>
    <t>How does 2530 HUD Clearance layer into this?</t>
  </si>
  <si>
    <t>Seller:</t>
  </si>
  <si>
    <t>Address:</t>
  </si>
  <si>
    <t>Any docs we need to get Darryl now?</t>
  </si>
  <si>
    <t>FHA:</t>
  </si>
  <si>
    <t>Contract:</t>
  </si>
  <si>
    <t>PBCA:</t>
  </si>
  <si>
    <t>New Owner:</t>
  </si>
  <si>
    <t>HUD AE:</t>
  </si>
  <si>
    <t>Section 1</t>
  </si>
  <si>
    <t xml:space="preserve">Proposed Owner Information </t>
  </si>
  <si>
    <t>CC/MG Notes</t>
  </si>
  <si>
    <t>Comments</t>
  </si>
  <si>
    <t>a.</t>
  </si>
  <si>
    <t xml:space="preserve">Name and signature block for Proposed Owner entity </t>
  </si>
  <si>
    <t>John Daniels</t>
  </si>
  <si>
    <t>Borrower Name:</t>
  </si>
  <si>
    <t>b.</t>
  </si>
  <si>
    <t>Organizational Chart for Proposed Owner entity (with percentage interests and roles for all entities and individuals)</t>
  </si>
  <si>
    <t>Caste - Nixon</t>
  </si>
  <si>
    <t>c.</t>
  </si>
  <si>
    <t>Resume for Proposed Owner or sponsor (include any affordable experience)</t>
  </si>
  <si>
    <t>Will this be both CC and MG?</t>
  </si>
  <si>
    <t>d.</t>
  </si>
  <si>
    <t>Articles of Organization/Certificate of Formation/Certificate of Limited Partnership</t>
  </si>
  <si>
    <t>State of Formation:</t>
  </si>
  <si>
    <t xml:space="preserve">e. </t>
  </si>
  <si>
    <t>Operating Agreement/Limited Partnership Agreement</t>
  </si>
  <si>
    <t>Date of Operating Agreement:</t>
  </si>
  <si>
    <t>f.</t>
  </si>
  <si>
    <t>2530 Previous Participation submission confirmation in APPS</t>
  </si>
  <si>
    <r>
      <rPr>
        <u/>
        <sz val="11"/>
        <color theme="3"/>
        <rFont val="Arial"/>
        <family val="2"/>
      </rPr>
      <t>APPS Submission Number</t>
    </r>
    <r>
      <rPr>
        <sz val="11"/>
        <color theme="3"/>
        <rFont val="Arial"/>
        <family val="2"/>
      </rPr>
      <t>:
Confirm entities are registered in Business Partner Registration if paper 2530 is submitted in lieu of APPS submission.</t>
    </r>
  </si>
  <si>
    <t>g.</t>
  </si>
  <si>
    <t>Real Estate Owned (REO) Schedule</t>
  </si>
  <si>
    <t>Will this be both CC and MG? Trace control</t>
  </si>
  <si>
    <t>h.</t>
  </si>
  <si>
    <t>Purchaser's Financial Statement (HUD Form 92417)</t>
  </si>
  <si>
    <t>i.</t>
  </si>
  <si>
    <t xml:space="preserve">Unique Entity ID Registration Confirmation </t>
  </si>
  <si>
    <t>Unique Entity ID:</t>
  </si>
  <si>
    <t>j.</t>
  </si>
  <si>
    <t xml:space="preserve">EIN Number for Proposed Owner entity </t>
  </si>
  <si>
    <t>EIN Number:</t>
  </si>
  <si>
    <t>k.</t>
  </si>
  <si>
    <t>Confirmation of Fiscal Year End Date</t>
  </si>
  <si>
    <t>l.</t>
  </si>
  <si>
    <t>Certificate of Good Standing</t>
  </si>
  <si>
    <t>m.</t>
  </si>
  <si>
    <t>Authorizing Resolution</t>
  </si>
  <si>
    <t>n.</t>
  </si>
  <si>
    <t>Credit Report for sponsor</t>
  </si>
  <si>
    <t>Section 2</t>
  </si>
  <si>
    <t xml:space="preserve">Management Company Information </t>
  </si>
  <si>
    <t xml:space="preserve">Resume of Management Company </t>
  </si>
  <si>
    <t>Caste</t>
  </si>
  <si>
    <t>From UHM</t>
  </si>
  <si>
    <t>Name of Management Agent:</t>
  </si>
  <si>
    <t>Management Agent Certification (HUD Form 9839-B)</t>
  </si>
  <si>
    <t>N/A</t>
  </si>
  <si>
    <t>N/A with UHM staying in place?</t>
  </si>
  <si>
    <t>If new management is being retained at closing:</t>
  </si>
  <si>
    <t>Management Entity Profile (HUD Form 9832)</t>
  </si>
  <si>
    <t>2530 Previous Participation submission confirmation on APPS</t>
  </si>
  <si>
    <t>e.</t>
  </si>
  <si>
    <t xml:space="preserve">Proposed Tenant Selection Plan </t>
  </si>
  <si>
    <t xml:space="preserve">Proposed Tenant Lease </t>
  </si>
  <si>
    <t>Need confirmation that the agent will use the HUD form model lease (form HUD-90105a)</t>
  </si>
  <si>
    <t>Management Agreement with HUD required provisions</t>
  </si>
  <si>
    <t>Can we use current or needs to be assigned?</t>
  </si>
  <si>
    <t>Section 3</t>
  </si>
  <si>
    <t xml:space="preserve">Project Finances and Affordability </t>
  </si>
  <si>
    <t>Description of financing (LIHTC? Conventional? FHA? Tax-exempt bonds?)</t>
  </si>
  <si>
    <t>Will likely be TBD prior to submission. Ok to follow</t>
  </si>
  <si>
    <r>
      <t>Pro Forma</t>
    </r>
    <r>
      <rPr>
        <sz val="11"/>
        <color theme="3"/>
        <rFont val="Arial"/>
        <family val="2"/>
      </rPr>
      <t xml:space="preserve"> Net Operating Income</t>
    </r>
  </si>
  <si>
    <r>
      <t xml:space="preserve">Pro Forma </t>
    </r>
    <r>
      <rPr>
        <sz val="11"/>
        <color theme="3"/>
        <rFont val="Arial"/>
        <family val="2"/>
      </rPr>
      <t>Sources and Uses</t>
    </r>
  </si>
  <si>
    <t xml:space="preserve">d. </t>
  </si>
  <si>
    <t>Estimated closing date</t>
  </si>
  <si>
    <t>Closing Date:</t>
  </si>
  <si>
    <t>Purchase and Sale Agreement and any amendments or assignments</t>
  </si>
  <si>
    <t>Executed Date:</t>
  </si>
  <si>
    <t xml:space="preserve">f. </t>
  </si>
  <si>
    <t>Name and address of Lender</t>
  </si>
  <si>
    <t>Lender Name:</t>
  </si>
  <si>
    <t>Name and address of Title Company/Escrow Agent</t>
  </si>
  <si>
    <t>Title Name:</t>
  </si>
  <si>
    <t>Proposed Deed</t>
  </si>
  <si>
    <t>Balance Sheet</t>
  </si>
  <si>
    <t>Lender's Reserve Requirement (both initial deposit and PUPY amounts)</t>
  </si>
  <si>
    <t>Draft Financing Documents</t>
  </si>
  <si>
    <t xml:space="preserve">Lender Term Sheet or Financing Commitment </t>
  </si>
  <si>
    <t>LIHTC Documents (if applcable - includes LIHTC lease rider, draft tax credit use agreement, etc.)</t>
  </si>
  <si>
    <t>Consent to Assignment of HAP Contract</t>
  </si>
  <si>
    <t>Is this a pre-consent agreement before executing the assignment? Or consent from lender?</t>
  </si>
  <si>
    <t>Need confirmation of Fannie, Freddie, or Conventional Financing along with lender name and address</t>
  </si>
  <si>
    <t>Section 4</t>
  </si>
  <si>
    <t xml:space="preserve">Property Information </t>
  </si>
  <si>
    <t>Unit count and configuration</t>
  </si>
  <si>
    <t>HAP Original Contract</t>
  </si>
  <si>
    <t>Limitation on Distributions – Yes/No
Reserve for Replacement Requirement – Yes/No</t>
  </si>
  <si>
    <t xml:space="preserve">c. </t>
  </si>
  <si>
    <t xml:space="preserve">Copies of prior HAP Assignments, if applicable </t>
  </si>
  <si>
    <t>HAP Renewal Contract</t>
  </si>
  <si>
    <t>Effective Date:</t>
  </si>
  <si>
    <t xml:space="preserve">Current Rent Schedule </t>
  </si>
  <si>
    <t>Utility Allowance (if tenant-paid, date of most recent UA baseline)</t>
  </si>
  <si>
    <t xml:space="preserve">Scope of Work </t>
  </si>
  <si>
    <t>Relocation Plan, if applicable</t>
  </si>
  <si>
    <t>Property Condition Report (PCR) or Project Capital Needs Assessment (PCNA) via the eTool</t>
  </si>
  <si>
    <t>From what time period? CNA from 2021, CC will likely do PCR and/or CNA depending on requirements. Needs to be recent and need CNA with Vendor familiar with HUD</t>
  </si>
  <si>
    <t>Need copy of final report and automated email from HUD confirming the reviewer of the submitted report via HUD’s online eTool</t>
  </si>
  <si>
    <t xml:space="preserve">Latest REAC Inspection Report </t>
  </si>
  <si>
    <t>REAC Score and Date:</t>
  </si>
  <si>
    <t>Latest MOR Inspection Report</t>
  </si>
  <si>
    <t>MOR Result and Date:</t>
  </si>
  <si>
    <t>l .</t>
  </si>
  <si>
    <t>Financial Audits for two previous years</t>
  </si>
  <si>
    <t>Have 2023 and 2024, not sure timing of 2025. 2023 and 2024 okay</t>
  </si>
  <si>
    <t>Interim Financial Statements for the Project (i.e. trailing 12-month)</t>
  </si>
  <si>
    <t>o.</t>
  </si>
  <si>
    <t>HUD Use Agreements, if applicable</t>
  </si>
  <si>
    <t>Confirm if applicable</t>
  </si>
  <si>
    <t>p.</t>
  </si>
  <si>
    <t>Service Coordinator Grant, if applicable</t>
  </si>
  <si>
    <t>Northmarq - Lender Checklist</t>
  </si>
  <si>
    <t>PRIORITY CREDIT ITEMS FOR RATE LOCK</t>
  </si>
  <si>
    <t>Walker</t>
  </si>
  <si>
    <t>TBD BORROWING ENTITY</t>
  </si>
  <si>
    <t>SENT</t>
  </si>
  <si>
    <t>Organizational Chart</t>
  </si>
  <si>
    <t>Draft from 1.7.26</t>
  </si>
  <si>
    <t>January T-12 Operating Statement (Dec. will suffice)</t>
  </si>
  <si>
    <t>Organizational Documents (exec. When available)</t>
  </si>
  <si>
    <t>RAP UP Partners, LLC OA</t>
  </si>
  <si>
    <t>Current Rent Roll</t>
  </si>
  <si>
    <t>Credit Authorization / Loan History Statement</t>
  </si>
  <si>
    <t>Schedule of recent Cap Ex repairs (within last two years)</t>
  </si>
  <si>
    <t>Current Balance Sheet</t>
  </si>
  <si>
    <t>Name of proposed management company, summary of their experience, highlighing scattered site and Section 8</t>
  </si>
  <si>
    <t>Resume/bios for key principals</t>
  </si>
  <si>
    <t>TBD KEY PRINCIPAL / GUARANTOR</t>
  </si>
  <si>
    <t>Schedule of REO - unit, occupancy, maturity dates, current lender, noi, market value, DSCR, LTV</t>
  </si>
  <si>
    <t>Driver's License or Passport</t>
  </si>
  <si>
    <t>Financial statements for Caste</t>
  </si>
  <si>
    <t>Biography detailing REO &amp; Mgmt Experience</t>
  </si>
  <si>
    <t>Personal Financial Statements</t>
  </si>
  <si>
    <t>RE Schedule and Explanations for all contignecy liabilities</t>
  </si>
  <si>
    <t>Verification of Deposits (bank or brokers statements dated within 3 months will suffice)</t>
  </si>
  <si>
    <t>TBD PRINCIAL INDIVIDUALS</t>
  </si>
  <si>
    <t>From Who?</t>
  </si>
  <si>
    <t>TBD PRINCIPAL ENTITIES</t>
  </si>
  <si>
    <t>Organization Documents (exec. When available)</t>
  </si>
  <si>
    <t>PROPERTY-LEVEL ITEMS FOR RATE LOCK</t>
  </si>
  <si>
    <t>OPERATING STATEMENTS</t>
  </si>
  <si>
    <t>Historical P&amp;Ls (3 yrs as avail.)</t>
  </si>
  <si>
    <t>Uploaded, 2025 thru 11/25</t>
  </si>
  <si>
    <t>Current Monthly T-12</t>
  </si>
  <si>
    <t>Included in 18, T-12 from 11/25</t>
  </si>
  <si>
    <t>Borrower's Current Budget</t>
  </si>
  <si>
    <t>Current Rent Roll(s) (detailed)</t>
  </si>
  <si>
    <t>As of 12.31.25</t>
  </si>
  <si>
    <t>Collections - 3 months of operating account bank statements for account name to Borrower/Owner</t>
  </si>
  <si>
    <t>Collections - Delinquency/Aged Receiveables &amp; Prepaid Report</t>
  </si>
  <si>
    <t>CapEx - Sponsor's recently completed improvements &amp; Lender's receipt of a detailed Cap Ex budget</t>
  </si>
  <si>
    <t>Borrower expense comparables for similar properties owned in similar markets (current or prior year P&amp;L data will suffice)</t>
  </si>
  <si>
    <t>Property payroll summary</t>
  </si>
  <si>
    <t>Cert. of Occ. - if readily available</t>
  </si>
  <si>
    <t>63 Lambert not included</t>
  </si>
  <si>
    <t>INSURANCE, LEGAL, &amp; THIRD-PARTY ITEMS REQUIRED FOR RATE LOCK</t>
  </si>
  <si>
    <t xml:space="preserve">INSURANCE, LEGAL, &amp; THIRD-PARTY ITEMS </t>
  </si>
  <si>
    <t>Lender's acceptable insurance review of property and liability insurance policies (inc. Accord 25, 27) and annual premium quote</t>
  </si>
  <si>
    <t>Getting quote from McGriff, current: Traveler's</t>
  </si>
  <si>
    <t xml:space="preserve">Lender inspection with acceptable findings (acceptable review of corporate units, leases, tenant ledgers, etc.) </t>
  </si>
  <si>
    <t>Northmarq</t>
  </si>
  <si>
    <t xml:space="preserve">Executed Current Management Contract (or proposed) – explicitly stating compensation. </t>
  </si>
  <si>
    <t>ALTA Survey / Title Policy Commitment</t>
  </si>
  <si>
    <t>ALTA expected mid-March, 6 weeks from release</t>
  </si>
  <si>
    <t>Acceptable Review of: Appraisal</t>
  </si>
  <si>
    <t>Acceptable Review of: PCA and Enviro Report indications including approach to radon testing and mitigation, required O&amp;M reports, and WDI report, if needed</t>
  </si>
  <si>
    <t>EBI, mid-March, 6 weeks from release</t>
  </si>
  <si>
    <t>Acceptable Review of: Lender's review of zoning report</t>
  </si>
  <si>
    <t>Good Faith Deposit Confirmation</t>
  </si>
  <si>
    <t>Title Company / Escrow Agent receipts and disbursements ledger for the transaction showing:
Source of all funds deposited (with federal fund wires and full entity names) in the closing escrow)
The flow of all funds disbursed from the closing escrow to the Mortage Loan</t>
  </si>
  <si>
    <t>Fannie Mae approval of Loan Doc Mods (if any)</t>
  </si>
  <si>
    <t>UCC/Tax Lien/Judgement Searchs - for Borrowing entite, key principals, guarantor (will be ordered by Lender Counsel)</t>
  </si>
  <si>
    <t>Additional RL items noted in Legal check list</t>
  </si>
  <si>
    <t>Copy of Current Note and Payoff Letter</t>
  </si>
  <si>
    <t>Underwriting Certificate (will be prepared for signatures at a later date)</t>
  </si>
  <si>
    <t>OTHER ITEMS REQUIRED FOR CLOSING</t>
  </si>
  <si>
    <t>OTHER</t>
  </si>
  <si>
    <t>W-9 Tax Identification Certification - for Borrowing Entity</t>
  </si>
  <si>
    <t>Preliminary Estimate of Sources and Uses</t>
  </si>
  <si>
    <t>ACH Form &amp; Voided Check - for Borrowing Entity</t>
  </si>
  <si>
    <t>Role</t>
  </si>
  <si>
    <t>Organization</t>
  </si>
  <si>
    <t>Name</t>
  </si>
  <si>
    <t>Acquiror</t>
  </si>
  <si>
    <t>Caste Capital</t>
  </si>
  <si>
    <t>Bode Adunbarin</t>
  </si>
  <si>
    <t>David Stewart</t>
  </si>
  <si>
    <t>Patrick Kimble</t>
  </si>
  <si>
    <t>Alex Schultz</t>
  </si>
  <si>
    <t>Menkiti Group</t>
  </si>
  <si>
    <t>Bo Menkiti</t>
  </si>
  <si>
    <t>Acquiror/Seller</t>
  </si>
  <si>
    <t>Catalyst Ventures</t>
  </si>
  <si>
    <t>Darryl Settles</t>
  </si>
  <si>
    <t>Broker</t>
  </si>
  <si>
    <t>Colliers</t>
  </si>
  <si>
    <t>Jeanne Pinnado</t>
  </si>
  <si>
    <t>Legal Counsel</t>
  </si>
  <si>
    <t>Nixon Peabody</t>
  </si>
  <si>
    <t>Alex Rosso</t>
  </si>
  <si>
    <t>HAP Contract Administrator</t>
  </si>
  <si>
    <t>MassHousing</t>
  </si>
  <si>
    <t>3P - Physical Needs Assessor</t>
  </si>
  <si>
    <t>3P - Environment Consultant</t>
  </si>
  <si>
    <t>3P - Surveyor/Contractor</t>
  </si>
  <si>
    <t>3P - Rent Comp Study</t>
  </si>
  <si>
    <t>APR</t>
  </si>
  <si>
    <t>Joe Antonelli</t>
  </si>
  <si>
    <t>Debt Financing (Option)</t>
  </si>
  <si>
    <t>Rockport</t>
  </si>
  <si>
    <t>Linda Pellegrino, James Beghai</t>
  </si>
  <si>
    <t>Jeff Munoz</t>
  </si>
  <si>
    <t>Brookline Bank</t>
  </si>
  <si>
    <t>Robert Page</t>
  </si>
  <si>
    <t>W&amp;D</t>
  </si>
  <si>
    <t>John Gregory, John Gilmore</t>
  </si>
  <si>
    <t>Citizens</t>
  </si>
  <si>
    <t>Jon Reidinger</t>
  </si>
  <si>
    <t>Eastern Bank</t>
  </si>
  <si>
    <t>Angela Meehan</t>
  </si>
  <si>
    <t>Debt Financing (Option; received LOIs)</t>
  </si>
  <si>
    <t>Hingam and Webster 5</t>
  </si>
  <si>
    <t>Paul J. Barry</t>
  </si>
  <si>
    <t>LISC</t>
  </si>
  <si>
    <t>Gustavo Quiroga</t>
  </si>
  <si>
    <t>DD SCHEDULE / COST TRACKER</t>
  </si>
  <si>
    <t>Phase</t>
  </si>
  <si>
    <t>Task</t>
  </si>
  <si>
    <t>Party</t>
  </si>
  <si>
    <t>Start</t>
  </si>
  <si>
    <t>Duration</t>
  </si>
  <si>
    <t>End</t>
  </si>
  <si>
    <t>Budget</t>
  </si>
  <si>
    <t>Proposal Cost</t>
  </si>
  <si>
    <t>Spent</t>
  </si>
  <si>
    <t>Remaining</t>
  </si>
  <si>
    <t>CHECK</t>
  </si>
  <si>
    <t>Acquisition - Legal</t>
  </si>
  <si>
    <t>Execute LOI</t>
  </si>
  <si>
    <t>Draft and execute PSA</t>
  </si>
  <si>
    <t>Draft and execute LPA, JVAs</t>
  </si>
  <si>
    <t>Acquiror/Seller/Nixon</t>
  </si>
  <si>
    <t>Draft and execute Caste GP formation doc</t>
  </si>
  <si>
    <t>CC, Nixon</t>
  </si>
  <si>
    <t>DD / HUD Approvals</t>
  </si>
  <si>
    <t>Mgmt agent and ownership approvals, HAP Contract Review &amp; Assumption</t>
  </si>
  <si>
    <t>Acquiror, Seller, Nixon Peabody, MassHousing</t>
  </si>
  <si>
    <t>Draft and execute PMAs</t>
  </si>
  <si>
    <t>Due Diligence</t>
  </si>
  <si>
    <t>Zoning Certificate / Letter</t>
  </si>
  <si>
    <t>Acquiror, 3Ps</t>
  </si>
  <si>
    <t>Title Review</t>
  </si>
  <si>
    <t>Order ALTA Survey</t>
  </si>
  <si>
    <t xml:space="preserve">Order PCA/CNA </t>
  </si>
  <si>
    <t>Phase I ESA</t>
  </si>
  <si>
    <t>Misc</t>
  </si>
  <si>
    <t>Rent Comp Study</t>
  </si>
  <si>
    <t>Acquiror, APR</t>
  </si>
  <si>
    <t>2530 Clearance Work</t>
  </si>
  <si>
    <t>Ryan Tax Report</t>
  </si>
  <si>
    <t>Financing</t>
  </si>
  <si>
    <t>Lender legal fees</t>
  </si>
  <si>
    <t>Acquiror, Lender, Nixon</t>
  </si>
  <si>
    <t>Lender Reports &amp; fees</t>
  </si>
  <si>
    <t>Affordable consultant</t>
  </si>
  <si>
    <t>Acquiror, Jacques</t>
  </si>
  <si>
    <t>Contingency</t>
  </si>
  <si>
    <t>Deposit #1</t>
  </si>
  <si>
    <t>Escrow deposit ($50K at PSA signing)</t>
  </si>
  <si>
    <t>Deposit #2</t>
  </si>
  <si>
    <t>Escrow deposit ($150K at DD)</t>
  </si>
  <si>
    <t>Total (Incl. Deposits)</t>
  </si>
  <si>
    <t>Total (Excl. Deposits)</t>
  </si>
  <si>
    <t>Note:</t>
  </si>
  <si>
    <t>Dates are approximations.</t>
  </si>
  <si>
    <t>Residential Leases &amp; House Rules</t>
  </si>
  <si>
    <t>License Agreements (if applicable)</t>
  </si>
  <si>
    <t>Indemnities (if applicable)</t>
  </si>
  <si>
    <t>Title and Zoning</t>
  </si>
  <si>
    <t>Existing Title Insurance Policy</t>
  </si>
  <si>
    <t>Environmental Information</t>
  </si>
  <si>
    <t>Phase 1 and 2 ESA</t>
  </si>
  <si>
    <t>Drawings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</si>
</sst>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8" formatCode="&quot;$&quot;#,##0.00_);[Red]\(&quot;$&quot;#,##0.00\)"/>
    <numFmt numFmtId="164" formatCode="_(* #,##0_);_(* \(#,##0\);_(* &quot;   -&quot;?_);_(@_)"/>
    <numFmt numFmtId="165" formatCode="mmm\-yyyy"/>
    <numFmt numFmtId="166" formatCode="_(* #,##0.0%;_(* \(#,##0.0\)%;_(* &quot;   -&quot;?_)"/>
  </numFmts>
  <fonts count="53">
    <font>
      <sz val="10"/>
      <name val="Arial"/>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4"/>
      <name val="Calibri"/>
      <family val="2"/>
      <scheme val="minor"/>
    </font>
    <font>
      <i/>
      <sz val="11"/>
      <name val="Calibri"/>
      <family val="2"/>
      <scheme val="minor"/>
    </font>
    <font>
      <sz val="8"/>
      <name val="Calibri"/>
      <family val="2"/>
      <scheme val="minor"/>
    </font>
    <font>
      <b/>
      <sz val="11"/>
      <name val="Calibri"/>
      <family val="2"/>
      <scheme val="minor"/>
    </font>
    <font>
      <b/>
      <sz val="11"/>
      <color rgb="FFFFFFFF"/>
      <name val="Calibri"/>
      <family val="2"/>
      <scheme val="minor"/>
    </font>
    <font>
      <b/>
      <u/>
      <sz val="11"/>
      <color theme="0"/>
      <name val="Calibri"/>
      <family val="2"/>
      <scheme val="minor"/>
    </font>
    <font>
      <b/>
      <u/>
      <sz val="11"/>
      <name val="Calibri"/>
      <family val="2"/>
      <scheme val="minor"/>
    </font>
    <font>
      <u/>
      <sz val="11"/>
      <name val="Calibri"/>
      <family val="2"/>
      <scheme val="minor"/>
    </font>
    <font>
      <b/>
      <sz val="11"/>
      <color theme="1"/>
      <name val="Calibri"/>
      <family val="2"/>
      <scheme val="minor"/>
    </font>
    <font>
      <sz val="11"/>
      <color rgb="FF0000FF"/>
      <name val="Calibri"/>
      <family val="2"/>
      <scheme val="minor"/>
    </font>
    <font>
      <sz val="11"/>
      <color rgb="FF000000"/>
      <name val="Calibri"/>
      <family val="2"/>
      <scheme val="minor"/>
    </font>
    <font>
      <b/>
      <i/>
      <u/>
      <sz val="11"/>
      <color theme="1"/>
      <name val="Calibri"/>
      <family val="2"/>
      <scheme val="minor"/>
    </font>
    <font>
      <i/>
      <sz val="11"/>
      <color theme="1"/>
      <name val="Calibri"/>
      <family val="2"/>
      <scheme val="minor"/>
    </font>
    <font>
      <sz val="10"/>
      <name val="Arial"/>
      <family val="2"/>
    </font>
    <font>
      <b/>
      <sz val="11"/>
      <color rgb="FF000000"/>
      <name val="Calibri"/>
      <family val="2"/>
      <scheme val="minor"/>
    </font>
    <font>
      <b/>
      <sz val="11"/>
      <color rgb="FF008000"/>
      <name val="Calibri"/>
      <family val="2"/>
      <scheme val="minor"/>
    </font>
    <font>
      <sz val="11"/>
      <color rgb="FF008000"/>
      <name val="Calibri"/>
      <family val="2"/>
      <scheme val="minor"/>
    </font>
    <font>
      <b/>
      <sz val="11"/>
      <color rgb="FFFF0000"/>
      <name val="Calibri"/>
      <family val="2"/>
      <scheme val="minor"/>
    </font>
    <font>
      <b/>
      <sz val="11"/>
      <color rgb="FF0000FF"/>
      <name val="Calibri"/>
      <family val="2"/>
      <scheme val="minor"/>
    </font>
    <font>
      <b/>
      <sz val="20"/>
      <color theme="1"/>
      <name val="Calibri"/>
      <family val="2"/>
      <scheme val="minor"/>
    </font>
    <font>
      <sz val="12"/>
      <color theme="1"/>
      <name val="Calibri"/>
      <family val="2"/>
      <scheme val="minor"/>
    </font>
    <font>
      <b/>
      <sz val="12"/>
      <color theme="1"/>
      <name val="Calibri"/>
      <family val="2"/>
      <scheme val="minor"/>
    </font>
    <font>
      <b/>
      <sz val="12"/>
      <color rgb="FF0000FF"/>
      <name val="Calibri"/>
      <family val="2"/>
      <scheme val="minor"/>
    </font>
    <font>
      <sz val="12"/>
      <color rgb="FF0000FF"/>
      <name val="Calibri"/>
      <family val="2"/>
      <scheme val="minor"/>
    </font>
    <font>
      <sz val="12"/>
      <color rgb="FF000000"/>
      <name val="Calibri"/>
      <family val="2"/>
      <scheme val="minor"/>
    </font>
    <font>
      <b/>
      <sz val="12"/>
      <color rgb="FFFFFFFF"/>
      <name val="Calibri"/>
      <family val="2"/>
      <scheme val="minor"/>
    </font>
    <font>
      <b/>
      <i/>
      <u/>
      <sz val="12"/>
      <color theme="1"/>
      <name val="Calibri"/>
      <family val="2"/>
      <scheme val="minor"/>
    </font>
    <font>
      <sz val="11"/>
      <color theme="3"/>
      <name val="Arial"/>
      <family val="2"/>
    </font>
    <font>
      <sz val="16"/>
      <color theme="2"/>
      <name val="Arial"/>
      <family val="2"/>
    </font>
    <font>
      <sz val="16"/>
      <name val="Arial"/>
      <family val="2"/>
    </font>
    <font>
      <sz val="12"/>
      <name val="Arial"/>
      <family val="2"/>
    </font>
    <font>
      <sz val="12"/>
      <color theme="3"/>
      <name val="Arial"/>
      <family val="2"/>
    </font>
    <font>
      <sz val="14"/>
      <color theme="3"/>
      <name val="Arial"/>
      <family val="2"/>
    </font>
    <font>
      <b/>
      <sz val="11"/>
      <color rgb="FF385C9C"/>
      <name val="Arial"/>
      <family val="2"/>
    </font>
    <font>
      <u/>
      <sz val="11"/>
      <color theme="3"/>
      <name val="Arial"/>
      <family val="2"/>
    </font>
    <font>
      <b/>
      <sz val="11"/>
      <color theme="5"/>
      <name val="Arial"/>
      <family val="2"/>
    </font>
    <font>
      <b/>
      <sz val="11"/>
      <color theme="4"/>
      <name val="Arial"/>
      <family val="2"/>
    </font>
    <font>
      <i/>
      <sz val="11"/>
      <color theme="3"/>
      <name val="Arial"/>
      <family val="2"/>
    </font>
    <font>
      <strike/>
      <sz val="11"/>
      <color rgb="FF008000"/>
      <name val="Calibri"/>
      <family val="2"/>
      <scheme val="minor"/>
    </font>
    <font>
      <strike/>
      <sz val="11"/>
      <name val="Calibri"/>
      <family val="2"/>
      <scheme val="minor"/>
    </font>
    <font>
      <strike/>
      <sz val="11"/>
      <color rgb="FF000000"/>
      <name val="Calibri"/>
      <family val="2"/>
      <scheme val="minor"/>
    </font>
    <font>
      <sz val="11"/>
      <color rgb="FF000316"/>
      <name val="Arial"/>
      <family val="2"/>
    </font>
    <font>
      <i/>
      <sz val="11"/>
      <color rgb="FF000000"/>
      <name val="Calibri"/>
      <family val="2"/>
      <scheme val="minor"/>
    </font>
    <font>
      <sz val="11"/>
      <color theme="0"/>
      <name val="Calibri"/>
      <family val="2"/>
      <scheme val="minor"/>
    </font>
    <font>
      <i/>
      <sz val="11"/>
      <color rgb="FFFF0000"/>
      <name val="Calibri"/>
      <family val="2"/>
      <scheme val="minor"/>
    </font>
    <font>
      <sz val="9"/>
      <color indexed="81"/>
      <name val="Tahoma"/>
      <family val="2"/>
    </font>
    <font>
      <b/>
      <sz val="9"/>
      <color indexed="81"/>
      <name val="Tahoma"/>
      <family val="2"/>
    </font>
  </fonts>
  <fills count="22">
    <fill>
      <patternFill patternType="none"/>
    </fill>
    <fill>
      <patternFill patternType="gray125"/>
    </fill>
    <fill>
      <patternFill patternType="solid">
        <fgColor rgb="FF000000"/>
        <bgColor indexed="64"/>
      </patternFill>
    </fill>
    <fill>
      <patternFill patternType="solid">
        <fgColor theme="1"/>
        <bgColor indexed="64"/>
      </patternFill>
    </fill>
    <fill>
      <patternFill patternType="solid">
        <fgColor rgb="FFD9D9D9"/>
        <bgColor rgb="FF000000"/>
      </patternFill>
    </fill>
    <fill>
      <patternFill patternType="solid">
        <fgColor theme="0"/>
        <bgColor rgb="FF000000"/>
      </patternFill>
    </fill>
    <fill>
      <patternFill patternType="solid">
        <fgColor theme="0"/>
        <bgColor indexed="64"/>
      </patternFill>
    </fill>
    <fill>
      <patternFill patternType="solid">
        <fgColor theme="1"/>
        <bgColor rgb="FF000000"/>
      </patternFill>
    </fill>
    <fill>
      <patternFill patternType="solid">
        <fgColor rgb="FFFFFFCC"/>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rgb="FFFDE9D9"/>
        <bgColor indexed="64"/>
      </patternFill>
    </fill>
    <fill>
      <patternFill patternType="solid">
        <fgColor theme="1" tint="0.499984740745262"/>
        <bgColor indexed="64"/>
      </patternFill>
    </fill>
    <fill>
      <patternFill patternType="solid">
        <fgColor rgb="FF808080"/>
        <bgColor indexed="64"/>
      </patternFill>
    </fill>
    <fill>
      <patternFill patternType="solid">
        <fgColor rgb="FFFFFFFF"/>
        <bgColor indexed="64"/>
      </patternFill>
    </fill>
    <fill>
      <patternFill patternType="solid">
        <fgColor rgb="FFFFFF00"/>
        <bgColor rgb="FF000000"/>
      </patternFill>
    </fill>
    <fill>
      <patternFill patternType="solid">
        <fgColor theme="0" tint="-0.249977111117893"/>
        <bgColor rgb="FF000000"/>
      </patternFill>
    </fill>
    <fill>
      <patternFill patternType="solid">
        <fgColor theme="0" tint="-0.249977111117893"/>
        <bgColor indexed="64"/>
      </patternFill>
    </fill>
    <fill>
      <patternFill patternType="solid">
        <fgColor theme="5"/>
        <bgColor indexed="64"/>
      </patternFill>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s>
  <borders count="31">
    <border>
      <left/>
      <right/>
      <top/>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theme="0"/>
      </right>
      <top style="medium">
        <color indexed="64"/>
      </top>
      <bottom style="thin">
        <color theme="0"/>
      </bottom>
      <diagonal/>
    </border>
    <border>
      <left style="medium">
        <color theme="0"/>
      </left>
      <right style="medium">
        <color theme="0"/>
      </right>
      <top style="medium">
        <color indexed="64"/>
      </top>
      <bottom style="thin">
        <color theme="0"/>
      </bottom>
      <diagonal/>
    </border>
    <border>
      <left style="medium">
        <color theme="0"/>
      </left>
      <right style="medium">
        <color indexed="64"/>
      </right>
      <top style="medium">
        <color indexed="64"/>
      </top>
      <bottom style="thin">
        <color theme="0"/>
      </bottom>
      <diagonal/>
    </border>
    <border>
      <left/>
      <right style="medium">
        <color theme="0"/>
      </right>
      <top style="thin">
        <color indexed="64"/>
      </top>
      <bottom style="thin">
        <color theme="0"/>
      </bottom>
      <diagonal/>
    </border>
    <border>
      <left style="medium">
        <color theme="0"/>
      </left>
      <right style="medium">
        <color theme="0"/>
      </right>
      <top style="thin">
        <color indexed="64"/>
      </top>
      <bottom style="thin">
        <color theme="0"/>
      </bottom>
      <diagonal/>
    </border>
    <border>
      <left style="medium">
        <color theme="0"/>
      </left>
      <right style="thin">
        <color indexed="64"/>
      </right>
      <top style="thin">
        <color indexed="64"/>
      </top>
      <bottom style="thin">
        <color theme="0"/>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theme="0"/>
      </right>
      <top style="thin">
        <color indexed="64"/>
      </top>
      <bottom style="thin">
        <color theme="0"/>
      </bottom>
      <diagonal/>
    </border>
    <border>
      <left style="medium">
        <color theme="0"/>
      </left>
      <right/>
      <top style="thin">
        <color indexed="64"/>
      </top>
      <bottom style="thin">
        <color theme="0"/>
      </bottom>
      <diagonal/>
    </border>
    <border>
      <left/>
      <right/>
      <top style="thin">
        <color indexed="64"/>
      </top>
      <bottom style="double">
        <color indexed="64"/>
      </bottom>
      <diagonal/>
    </border>
    <border>
      <left/>
      <right/>
      <top style="dashed">
        <color auto="1"/>
      </top>
      <bottom style="dashed">
        <color auto="1"/>
      </bottom>
      <diagonal/>
    </border>
    <border>
      <left style="medium">
        <color auto="1"/>
      </left>
      <right/>
      <top/>
      <bottom/>
      <diagonal/>
    </border>
    <border>
      <left style="thin">
        <color theme="4"/>
      </left>
      <right/>
      <top/>
      <bottom/>
      <diagonal/>
    </border>
    <border>
      <left/>
      <right/>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top/>
      <bottom/>
      <diagonal/>
    </border>
    <border>
      <left/>
      <right/>
      <top style="dashed">
        <color theme="1" tint="0.499984740745262"/>
      </top>
      <bottom style="dashed">
        <color theme="1" tint="0.499984740745262"/>
      </bottom>
      <diagonal/>
    </border>
  </borders>
  <cellStyleXfs count="4">
    <xf numFmtId="0" fontId="0" fillId="0" borderId="0"/>
    <xf numFmtId="0" fontId="2" fillId="0" borderId="0"/>
    <xf numFmtId="0" fontId="19" fillId="0" borderId="0"/>
    <xf numFmtId="0" fontId="1" fillId="0" borderId="0"/>
  </cellStyleXfs>
  <cellXfs count="326">
    <xf numFmtId="0" fontId="0" fillId="0" borderId="0" xfId="0"/>
    <xf numFmtId="0" fontId="5" fillId="0" borderId="0" xfId="0" applyFont="1"/>
    <xf numFmtId="0" fontId="6" fillId="0" borderId="0" xfId="0" applyFont="1"/>
    <xf numFmtId="0" fontId="5" fillId="0" borderId="0" xfId="0" applyFont="1" applyAlignment="1">
      <alignment horizontal="center"/>
    </xf>
    <xf numFmtId="14" fontId="5" fillId="0" borderId="0" xfId="0" applyNumberFormat="1" applyFont="1"/>
    <xf numFmtId="0" fontId="5" fillId="0" borderId="0" xfId="0" applyFont="1" applyAlignment="1">
      <alignment horizontal="center" wrapText="1"/>
    </xf>
    <xf numFmtId="0" fontId="5" fillId="0" borderId="0" xfId="0" applyFont="1" applyAlignment="1">
      <alignment horizontal="left"/>
    </xf>
    <xf numFmtId="0" fontId="7" fillId="0" borderId="0" xfId="0" applyFont="1"/>
    <xf numFmtId="0" fontId="8" fillId="0" borderId="1" xfId="0" applyFont="1" applyBorder="1" applyAlignment="1">
      <alignment horizontal="left" vertical="center"/>
    </xf>
    <xf numFmtId="0" fontId="8" fillId="0" borderId="0" xfId="0" applyFont="1" applyAlignment="1">
      <alignment horizontal="left" vertical="center"/>
    </xf>
    <xf numFmtId="0" fontId="5" fillId="0" borderId="0" xfId="0" applyFont="1" applyAlignment="1">
      <alignment horizontal="center" vertical="center"/>
    </xf>
    <xf numFmtId="14" fontId="9" fillId="0" borderId="0" xfId="0" applyNumberFormat="1" applyFont="1" applyAlignment="1">
      <alignment horizontal="right" vertical="center" wrapText="1"/>
    </xf>
    <xf numFmtId="0" fontId="10" fillId="2" borderId="2" xfId="0" applyFont="1" applyFill="1" applyBorder="1" applyAlignment="1">
      <alignment horizontal="centerContinuous"/>
    </xf>
    <xf numFmtId="0" fontId="10" fillId="3" borderId="3" xfId="0" applyFont="1" applyFill="1" applyBorder="1" applyAlignment="1">
      <alignment horizontal="centerContinuous"/>
    </xf>
    <xf numFmtId="0" fontId="10" fillId="3" borderId="4" xfId="0" applyFont="1" applyFill="1" applyBorder="1" applyAlignment="1">
      <alignment horizontal="centerContinuous"/>
    </xf>
    <xf numFmtId="0" fontId="10" fillId="3" borderId="5" xfId="0" applyFont="1" applyFill="1" applyBorder="1" applyAlignment="1">
      <alignment horizontal="centerContinuous"/>
    </xf>
    <xf numFmtId="0" fontId="10" fillId="3" borderId="6" xfId="0" applyFont="1" applyFill="1" applyBorder="1" applyAlignment="1">
      <alignment horizontal="centerContinuous"/>
    </xf>
    <xf numFmtId="0" fontId="10" fillId="3" borderId="7" xfId="0" applyFont="1" applyFill="1" applyBorder="1" applyAlignment="1">
      <alignment horizontal="centerContinuous"/>
    </xf>
    <xf numFmtId="0" fontId="10" fillId="3" borderId="8" xfId="0" applyFont="1" applyFill="1" applyBorder="1" applyAlignment="1">
      <alignment horizontal="centerContinuous"/>
    </xf>
    <xf numFmtId="0" fontId="11" fillId="3" borderId="9" xfId="0" applyFont="1" applyFill="1" applyBorder="1" applyAlignment="1">
      <alignment horizontal="center" vertical="center" wrapText="1"/>
    </xf>
    <xf numFmtId="3" fontId="12" fillId="0" borderId="0" xfId="0" applyNumberFormat="1" applyFont="1" applyAlignment="1">
      <alignment horizontal="left"/>
    </xf>
    <xf numFmtId="3" fontId="5" fillId="0" borderId="0" xfId="0" applyNumberFormat="1" applyFont="1"/>
    <xf numFmtId="0" fontId="10" fillId="2" borderId="10" xfId="0" applyFont="1" applyFill="1" applyBorder="1" applyAlignment="1">
      <alignment horizontal="centerContinuous"/>
    </xf>
    <xf numFmtId="0" fontId="3" fillId="3" borderId="11" xfId="0" applyFont="1" applyFill="1" applyBorder="1"/>
    <xf numFmtId="0" fontId="10" fillId="3" borderId="1" xfId="0" applyFont="1" applyFill="1" applyBorder="1" applyAlignment="1">
      <alignment horizontal="centerContinuous"/>
    </xf>
    <xf numFmtId="0" fontId="10" fillId="3" borderId="12" xfId="0" applyFont="1" applyFill="1" applyBorder="1" applyAlignment="1">
      <alignment horizontal="centerContinuous"/>
    </xf>
    <xf numFmtId="0" fontId="11" fillId="3" borderId="13" xfId="0" applyFont="1" applyFill="1" applyBorder="1" applyAlignment="1">
      <alignment horizontal="center" vertical="center" wrapText="1"/>
    </xf>
    <xf numFmtId="3" fontId="5" fillId="0" borderId="0" xfId="0" applyNumberFormat="1" applyFont="1" applyAlignment="1">
      <alignment horizontal="left"/>
    </xf>
    <xf numFmtId="0" fontId="5" fillId="4" borderId="14"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4" xfId="0" applyFont="1" applyFill="1" applyBorder="1" applyAlignment="1">
      <alignment horizontal="left" vertical="center" wrapText="1"/>
    </xf>
    <xf numFmtId="0" fontId="4" fillId="5"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0" xfId="0" applyFont="1" applyFill="1" applyAlignment="1">
      <alignment horizontal="left" vertical="center"/>
    </xf>
    <xf numFmtId="0" fontId="5" fillId="0" borderId="14" xfId="0" applyFont="1" applyBorder="1" applyAlignment="1">
      <alignment horizontal="center" vertical="center"/>
    </xf>
    <xf numFmtId="0" fontId="5" fillId="0" borderId="14" xfId="0" quotePrefix="1" applyFont="1" applyBorder="1" applyAlignment="1">
      <alignment horizontal="left" vertical="center" wrapText="1"/>
    </xf>
    <xf numFmtId="0" fontId="5" fillId="0" borderId="14" xfId="0" applyFont="1" applyBorder="1" applyAlignment="1">
      <alignment horizontal="center" vertical="center" wrapText="1"/>
    </xf>
    <xf numFmtId="0" fontId="5" fillId="6" borderId="0" xfId="0" applyFont="1" applyFill="1"/>
    <xf numFmtId="0" fontId="13" fillId="5" borderId="14" xfId="0" applyFont="1" applyFill="1" applyBorder="1" applyAlignment="1">
      <alignment horizontal="left" vertical="center" wrapText="1"/>
    </xf>
    <xf numFmtId="0" fontId="5" fillId="5" borderId="14" xfId="0" applyFont="1" applyFill="1" applyBorder="1" applyAlignment="1">
      <alignment horizontal="left" vertical="center" wrapText="1" indent="1"/>
    </xf>
    <xf numFmtId="0" fontId="5" fillId="6" borderId="16" xfId="0" applyFont="1" applyFill="1" applyBorder="1" applyAlignment="1">
      <alignment horizontal="center" vertical="center"/>
    </xf>
    <xf numFmtId="0" fontId="5" fillId="6" borderId="17" xfId="0" quotePrefix="1" applyFont="1" applyFill="1" applyBorder="1" applyAlignment="1">
      <alignment horizontal="left" vertical="center" wrapText="1" indent="1"/>
    </xf>
    <xf numFmtId="0" fontId="5" fillId="6" borderId="16"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4" fillId="6" borderId="18" xfId="0" quotePrefix="1" applyFont="1" applyFill="1" applyBorder="1" applyAlignment="1">
      <alignment horizontal="left" vertical="center" wrapText="1" indent="1"/>
    </xf>
    <xf numFmtId="0" fontId="4" fillId="6" borderId="14" xfId="0" quotePrefix="1" applyFont="1" applyFill="1" applyBorder="1" applyAlignment="1">
      <alignment horizontal="center" vertical="center" wrapText="1"/>
    </xf>
    <xf numFmtId="0" fontId="4" fillId="6" borderId="17" xfId="0" quotePrefix="1" applyFont="1" applyFill="1" applyBorder="1" applyAlignment="1">
      <alignment horizontal="center" vertical="center" wrapText="1"/>
    </xf>
    <xf numFmtId="0" fontId="4" fillId="6" borderId="16" xfId="0" applyFont="1" applyFill="1" applyBorder="1" applyAlignment="1">
      <alignment horizontal="center" vertical="center"/>
    </xf>
    <xf numFmtId="0" fontId="4" fillId="6" borderId="16" xfId="0" applyFont="1" applyFill="1" applyBorder="1" applyAlignment="1">
      <alignment horizontal="center" vertical="center" wrapText="1"/>
    </xf>
    <xf numFmtId="0" fontId="13" fillId="6" borderId="17" xfId="0" quotePrefix="1" applyFont="1" applyFill="1" applyBorder="1" applyAlignment="1">
      <alignment horizontal="left" vertical="center" wrapText="1"/>
    </xf>
    <xf numFmtId="0" fontId="5" fillId="5" borderId="16" xfId="0" applyFont="1" applyFill="1" applyBorder="1" applyAlignment="1">
      <alignment horizontal="center" vertical="center"/>
    </xf>
    <xf numFmtId="0" fontId="9" fillId="6" borderId="0" xfId="0" applyFont="1" applyFill="1" applyAlignment="1">
      <alignment horizontal="left" vertical="center"/>
    </xf>
    <xf numFmtId="0" fontId="4" fillId="6" borderId="17" xfId="0" quotePrefix="1" applyFont="1" applyFill="1" applyBorder="1" applyAlignment="1">
      <alignment horizontal="left" vertical="center" wrapText="1" indent="1"/>
    </xf>
    <xf numFmtId="0" fontId="4" fillId="6" borderId="16" xfId="0" quotePrefix="1" applyFont="1" applyFill="1" applyBorder="1" applyAlignment="1">
      <alignment horizontal="center" vertical="center" wrapText="1"/>
    </xf>
    <xf numFmtId="0" fontId="5" fillId="5" borderId="14" xfId="0" applyFont="1" applyFill="1" applyBorder="1" applyAlignment="1">
      <alignment horizontal="left" vertical="center" indent="1"/>
    </xf>
    <xf numFmtId="0" fontId="5" fillId="6" borderId="14" xfId="0" applyFont="1" applyFill="1" applyBorder="1" applyAlignment="1">
      <alignment horizontal="center" vertical="center"/>
    </xf>
    <xf numFmtId="0" fontId="5" fillId="5" borderId="19" xfId="0" applyFont="1" applyFill="1" applyBorder="1" applyAlignment="1">
      <alignment horizontal="left" vertical="center" indent="1"/>
    </xf>
    <xf numFmtId="0" fontId="5" fillId="6" borderId="17" xfId="0" quotePrefix="1" applyFont="1" applyFill="1" applyBorder="1" applyAlignment="1">
      <alignment horizontal="left" vertical="center" wrapText="1"/>
    </xf>
    <xf numFmtId="0" fontId="5" fillId="4" borderId="19" xfId="0" applyFont="1" applyFill="1" applyBorder="1" applyAlignment="1">
      <alignment horizontal="center" vertical="center"/>
    </xf>
    <xf numFmtId="0" fontId="5" fillId="5" borderId="19" xfId="0" applyFont="1" applyFill="1" applyBorder="1" applyAlignment="1">
      <alignment horizontal="left" vertical="center"/>
    </xf>
    <xf numFmtId="0" fontId="5" fillId="5" borderId="19" xfId="0" applyFont="1" applyFill="1" applyBorder="1" applyAlignment="1">
      <alignment horizontal="center" vertical="center"/>
    </xf>
    <xf numFmtId="0" fontId="5" fillId="5" borderId="19" xfId="0" applyFont="1" applyFill="1" applyBorder="1" applyAlignment="1">
      <alignment horizontal="center" vertical="center" wrapText="1"/>
    </xf>
    <xf numFmtId="0" fontId="3" fillId="3" borderId="14" xfId="0" applyFont="1" applyFill="1" applyBorder="1" applyAlignment="1">
      <alignment horizontal="left" vertical="center"/>
    </xf>
    <xf numFmtId="0" fontId="3" fillId="7" borderId="19" xfId="0" applyFont="1" applyFill="1" applyBorder="1" applyAlignment="1">
      <alignment horizontal="left" vertical="center" wrapText="1"/>
    </xf>
    <xf numFmtId="0" fontId="3" fillId="7" borderId="14" xfId="0" applyFont="1" applyFill="1" applyBorder="1" applyAlignment="1">
      <alignment horizontal="left" vertical="center"/>
    </xf>
    <xf numFmtId="0" fontId="3" fillId="7" borderId="19" xfId="0" applyFont="1" applyFill="1" applyBorder="1" applyAlignment="1">
      <alignment horizontal="left" vertical="center"/>
    </xf>
    <xf numFmtId="0" fontId="5" fillId="5" borderId="0" xfId="0" applyFont="1" applyFill="1" applyAlignment="1">
      <alignment horizontal="center" vertical="center"/>
    </xf>
    <xf numFmtId="0" fontId="4" fillId="5" borderId="14" xfId="0" applyFont="1" applyFill="1" applyBorder="1" applyAlignment="1">
      <alignment horizontal="center" vertical="center"/>
    </xf>
    <xf numFmtId="0" fontId="5" fillId="6" borderId="0" xfId="0" applyFont="1" applyFill="1" applyAlignment="1">
      <alignment horizontal="center" vertical="center" wrapText="1"/>
    </xf>
    <xf numFmtId="0" fontId="5" fillId="5" borderId="14" xfId="0" applyFont="1" applyFill="1" applyBorder="1" applyAlignment="1">
      <alignment horizontal="left" vertical="center"/>
    </xf>
    <xf numFmtId="0" fontId="5" fillId="5" borderId="14" xfId="0" applyFont="1" applyFill="1" applyBorder="1" applyAlignment="1">
      <alignment horizontal="center" vertical="center" wrapText="1"/>
    </xf>
    <xf numFmtId="0" fontId="2" fillId="0" borderId="0" xfId="1"/>
    <xf numFmtId="0" fontId="2" fillId="0" borderId="0" xfId="1" applyAlignment="1">
      <alignment vertical="center"/>
    </xf>
    <xf numFmtId="0" fontId="17" fillId="0" borderId="0" xfId="1" applyFont="1" applyAlignment="1">
      <alignment vertical="center"/>
    </xf>
    <xf numFmtId="0" fontId="2" fillId="0" borderId="0" xfId="1" applyAlignment="1">
      <alignment horizontal="center"/>
    </xf>
    <xf numFmtId="0" fontId="18" fillId="0" borderId="0" xfId="1" applyFont="1" applyAlignment="1">
      <alignment horizontal="left" vertical="center" indent="1"/>
    </xf>
    <xf numFmtId="0" fontId="5" fillId="5" borderId="19" xfId="0" applyFont="1" applyFill="1" applyBorder="1" applyAlignment="1">
      <alignment horizontal="left" vertical="center" indent="2"/>
    </xf>
    <xf numFmtId="0" fontId="5" fillId="0" borderId="0" xfId="2" applyFont="1"/>
    <xf numFmtId="0" fontId="6" fillId="0" borderId="0" xfId="2" applyFont="1"/>
    <xf numFmtId="0" fontId="5" fillId="0" borderId="0" xfId="2" applyFont="1" applyAlignment="1">
      <alignment horizontal="center"/>
    </xf>
    <xf numFmtId="0" fontId="5" fillId="0" borderId="0" xfId="2" applyFont="1" applyAlignment="1">
      <alignment horizontal="center" wrapText="1"/>
    </xf>
    <xf numFmtId="0" fontId="7" fillId="0" borderId="0" xfId="2" applyFont="1"/>
    <xf numFmtId="0" fontId="10" fillId="2" borderId="2" xfId="2" applyFont="1" applyFill="1" applyBorder="1" applyAlignment="1">
      <alignment horizontal="centerContinuous"/>
    </xf>
    <xf numFmtId="0" fontId="10" fillId="3" borderId="20" xfId="2" applyFont="1" applyFill="1" applyBorder="1" applyAlignment="1">
      <alignment horizontal="centerContinuous"/>
    </xf>
    <xf numFmtId="0" fontId="10" fillId="3" borderId="7" xfId="2" applyFont="1" applyFill="1" applyBorder="1" applyAlignment="1">
      <alignment horizontal="centerContinuous"/>
    </xf>
    <xf numFmtId="0" fontId="10" fillId="3" borderId="8" xfId="2" applyFont="1" applyFill="1" applyBorder="1" applyAlignment="1">
      <alignment horizontal="centerContinuous"/>
    </xf>
    <xf numFmtId="0" fontId="11" fillId="3" borderId="9" xfId="2" applyFont="1" applyFill="1" applyBorder="1" applyAlignment="1">
      <alignment horizontal="center" vertical="center" wrapText="1"/>
    </xf>
    <xf numFmtId="3" fontId="5" fillId="0" borderId="0" xfId="2" applyNumberFormat="1" applyFont="1"/>
    <xf numFmtId="0" fontId="10" fillId="2" borderId="10" xfId="2" applyFont="1" applyFill="1" applyBorder="1" applyAlignment="1">
      <alignment horizontal="centerContinuous"/>
    </xf>
    <xf numFmtId="0" fontId="3" fillId="3" borderId="11" xfId="2" applyFont="1" applyFill="1" applyBorder="1"/>
    <xf numFmtId="0" fontId="10" fillId="3" borderId="1" xfId="2" applyFont="1" applyFill="1" applyBorder="1" applyAlignment="1">
      <alignment horizontal="centerContinuous"/>
    </xf>
    <xf numFmtId="0" fontId="10" fillId="3" borderId="12" xfId="2" applyFont="1" applyFill="1" applyBorder="1" applyAlignment="1">
      <alignment horizontal="centerContinuous"/>
    </xf>
    <xf numFmtId="0" fontId="11" fillId="3" borderId="13" xfId="2" applyFont="1" applyFill="1" applyBorder="1" applyAlignment="1">
      <alignment horizontal="center" vertical="center" wrapText="1"/>
    </xf>
    <xf numFmtId="0" fontId="5" fillId="6" borderId="15" xfId="2" applyFont="1" applyFill="1" applyBorder="1" applyAlignment="1">
      <alignment horizontal="center" vertical="center" wrapText="1"/>
    </xf>
    <xf numFmtId="0" fontId="9" fillId="6" borderId="0" xfId="2" applyFont="1" applyFill="1" applyAlignment="1">
      <alignment horizontal="center" vertical="center"/>
    </xf>
    <xf numFmtId="0" fontId="5" fillId="4" borderId="14" xfId="2" applyFont="1" applyFill="1" applyBorder="1" applyAlignment="1">
      <alignment horizontal="center" vertical="center"/>
    </xf>
    <xf numFmtId="0" fontId="5" fillId="0" borderId="14" xfId="2" applyFont="1" applyBorder="1" applyAlignment="1">
      <alignment horizontal="center" vertical="center"/>
    </xf>
    <xf numFmtId="0" fontId="5" fillId="0" borderId="14" xfId="2" applyFont="1" applyBorder="1" applyAlignment="1">
      <alignment horizontal="center" vertical="center" wrapText="1"/>
    </xf>
    <xf numFmtId="0" fontId="16" fillId="0" borderId="14" xfId="2" applyFont="1" applyBorder="1" applyAlignment="1">
      <alignment horizontal="center" vertical="center" wrapText="1"/>
    </xf>
    <xf numFmtId="0" fontId="5" fillId="0" borderId="19" xfId="2" applyFont="1" applyBorder="1" applyAlignment="1">
      <alignment horizontal="center" vertical="center"/>
    </xf>
    <xf numFmtId="0" fontId="5" fillId="0" borderId="19" xfId="2" applyFont="1" applyBorder="1" applyAlignment="1">
      <alignment horizontal="center" vertical="center" wrapText="1"/>
    </xf>
    <xf numFmtId="0" fontId="5" fillId="0" borderId="15" xfId="2" applyFont="1" applyBorder="1" applyAlignment="1">
      <alignment horizontal="center" vertical="center" wrapText="1"/>
    </xf>
    <xf numFmtId="0" fontId="9" fillId="0" borderId="0" xfId="2" applyFont="1" applyAlignment="1">
      <alignment horizontal="center" vertical="center"/>
    </xf>
    <xf numFmtId="0" fontId="5" fillId="9" borderId="14" xfId="0" applyFont="1" applyFill="1" applyBorder="1" applyAlignment="1">
      <alignment horizontal="center" vertical="center"/>
    </xf>
    <xf numFmtId="0" fontId="9" fillId="10" borderId="19" xfId="0" applyFont="1" applyFill="1" applyBorder="1" applyAlignment="1">
      <alignment horizontal="left" vertical="center"/>
    </xf>
    <xf numFmtId="0" fontId="9" fillId="10" borderId="14" xfId="0" applyFont="1" applyFill="1" applyBorder="1" applyAlignment="1">
      <alignment horizontal="center" vertical="center"/>
    </xf>
    <xf numFmtId="0" fontId="9" fillId="10" borderId="14" xfId="0" applyFont="1" applyFill="1" applyBorder="1" applyAlignment="1">
      <alignment horizontal="left" vertical="center"/>
    </xf>
    <xf numFmtId="0" fontId="20" fillId="10" borderId="19" xfId="0" applyFont="1" applyFill="1" applyBorder="1" applyAlignment="1">
      <alignment horizontal="left" vertical="center"/>
    </xf>
    <xf numFmtId="0" fontId="22" fillId="0" borderId="19" xfId="2" applyFont="1" applyBorder="1" applyAlignment="1">
      <alignment horizontal="center" vertical="center" wrapText="1"/>
    </xf>
    <xf numFmtId="0" fontId="22" fillId="0" borderId="14" xfId="2" applyFont="1" applyBorder="1" applyAlignment="1">
      <alignment horizontal="center" vertical="center" wrapText="1"/>
    </xf>
    <xf numFmtId="0" fontId="21" fillId="0" borderId="14" xfId="2" applyFont="1" applyBorder="1" applyAlignment="1">
      <alignment horizontal="center" vertical="center" wrapText="1"/>
    </xf>
    <xf numFmtId="0" fontId="5" fillId="0" borderId="16" xfId="2" applyFont="1" applyBorder="1" applyAlignment="1">
      <alignment horizontal="center" vertical="center" wrapText="1"/>
    </xf>
    <xf numFmtId="0" fontId="5" fillId="0" borderId="16" xfId="2" applyFont="1" applyBorder="1" applyAlignment="1">
      <alignment horizontal="center" vertical="center"/>
    </xf>
    <xf numFmtId="0" fontId="10" fillId="3" borderId="21" xfId="2" applyFont="1" applyFill="1" applyBorder="1" applyAlignment="1">
      <alignment horizontal="centerContinuous"/>
    </xf>
    <xf numFmtId="14" fontId="5" fillId="0" borderId="19" xfId="2" applyNumberFormat="1" applyFont="1" applyBorder="1" applyAlignment="1">
      <alignment horizontal="center" vertical="center"/>
    </xf>
    <xf numFmtId="0" fontId="23" fillId="6" borderId="0" xfId="2" applyFont="1" applyFill="1" applyAlignment="1">
      <alignment horizontal="center" vertical="center"/>
    </xf>
    <xf numFmtId="14" fontId="5" fillId="0" borderId="14" xfId="2" applyNumberFormat="1" applyFont="1" applyBorder="1" applyAlignment="1">
      <alignment horizontal="center" vertical="center"/>
    </xf>
    <xf numFmtId="0" fontId="9" fillId="11" borderId="14" xfId="2" applyFont="1" applyFill="1" applyBorder="1" applyAlignment="1">
      <alignment horizontal="center" vertical="center"/>
    </xf>
    <xf numFmtId="0" fontId="9" fillId="11" borderId="19" xfId="2" applyFont="1" applyFill="1" applyBorder="1" applyAlignment="1">
      <alignment horizontal="center" vertical="center" wrapText="1"/>
    </xf>
    <xf numFmtId="0" fontId="9" fillId="11" borderId="19" xfId="2" applyFont="1" applyFill="1" applyBorder="1" applyAlignment="1">
      <alignment horizontal="center" vertical="center"/>
    </xf>
    <xf numFmtId="14" fontId="9" fillId="11" borderId="19" xfId="2" applyNumberFormat="1" applyFont="1" applyFill="1" applyBorder="1" applyAlignment="1">
      <alignment horizontal="center" vertical="center"/>
    </xf>
    <xf numFmtId="14" fontId="9" fillId="11" borderId="14" xfId="2" applyNumberFormat="1" applyFont="1" applyFill="1" applyBorder="1" applyAlignment="1">
      <alignment horizontal="center" vertical="center"/>
    </xf>
    <xf numFmtId="0" fontId="14" fillId="0" borderId="0" xfId="1" applyFont="1" applyAlignment="1">
      <alignment vertical="center"/>
    </xf>
    <xf numFmtId="0" fontId="14" fillId="0" borderId="0" xfId="1" applyFont="1" applyAlignment="1">
      <alignment vertical="center" wrapText="1"/>
    </xf>
    <xf numFmtId="14" fontId="14" fillId="0" borderId="0" xfId="1" applyNumberFormat="1" applyFont="1" applyAlignment="1">
      <alignment vertical="center"/>
    </xf>
    <xf numFmtId="5" fontId="14" fillId="0" borderId="0" xfId="1" applyNumberFormat="1" applyFont="1" applyAlignment="1">
      <alignment vertical="center"/>
    </xf>
    <xf numFmtId="0" fontId="25" fillId="0" borderId="0" xfId="1" applyFont="1"/>
    <xf numFmtId="37" fontId="24" fillId="0" borderId="0" xfId="1" applyNumberFormat="1" applyFont="1" applyAlignment="1">
      <alignment horizontal="center" vertical="center"/>
    </xf>
    <xf numFmtId="0" fontId="14" fillId="0" borderId="0" xfId="1" applyFont="1" applyAlignment="1">
      <alignment horizontal="right"/>
    </xf>
    <xf numFmtId="0" fontId="26" fillId="0" borderId="0" xfId="1" applyFont="1"/>
    <xf numFmtId="0" fontId="26" fillId="0" borderId="0" xfId="1" applyFont="1" applyAlignment="1">
      <alignment vertical="center"/>
    </xf>
    <xf numFmtId="0" fontId="26" fillId="0" borderId="0" xfId="1" applyFont="1" applyAlignment="1">
      <alignment vertical="center" wrapText="1"/>
    </xf>
    <xf numFmtId="14" fontId="29" fillId="0" borderId="0" xfId="1" applyNumberFormat="1" applyFont="1" applyAlignment="1">
      <alignment vertical="center"/>
    </xf>
    <xf numFmtId="37" fontId="29" fillId="8" borderId="0" xfId="1" applyNumberFormat="1" applyFont="1" applyFill="1" applyAlignment="1">
      <alignment horizontal="center" vertical="center"/>
    </xf>
    <xf numFmtId="14" fontId="26" fillId="0" borderId="0" xfId="1" applyNumberFormat="1" applyFont="1" applyAlignment="1">
      <alignment vertical="center"/>
    </xf>
    <xf numFmtId="5" fontId="29" fillId="8" borderId="0" xfId="1" applyNumberFormat="1" applyFont="1" applyFill="1" applyAlignment="1">
      <alignment vertical="center"/>
    </xf>
    <xf numFmtId="164" fontId="27" fillId="0" borderId="23" xfId="1" applyNumberFormat="1" applyFont="1" applyBorder="1" applyAlignment="1">
      <alignment horizontal="center" vertical="center"/>
    </xf>
    <xf numFmtId="0" fontId="26" fillId="0" borderId="23" xfId="1" applyFont="1" applyBorder="1" applyAlignment="1">
      <alignment vertical="center" wrapText="1"/>
    </xf>
    <xf numFmtId="14" fontId="30" fillId="0" borderId="23" xfId="1" applyNumberFormat="1" applyFont="1" applyBorder="1" applyAlignment="1">
      <alignment vertical="center"/>
    </xf>
    <xf numFmtId="37" fontId="29" fillId="8" borderId="23" xfId="1" applyNumberFormat="1" applyFont="1" applyFill="1" applyBorder="1" applyAlignment="1">
      <alignment horizontal="center" vertical="center"/>
    </xf>
    <xf numFmtId="14" fontId="26" fillId="0" borderId="23" xfId="1" applyNumberFormat="1" applyFont="1" applyBorder="1" applyAlignment="1">
      <alignment vertical="center"/>
    </xf>
    <xf numFmtId="5" fontId="29" fillId="8" borderId="23" xfId="1" applyNumberFormat="1" applyFont="1" applyFill="1" applyBorder="1" applyAlignment="1">
      <alignment vertical="center"/>
    </xf>
    <xf numFmtId="0" fontId="27" fillId="0" borderId="22" xfId="1" applyFont="1" applyBorder="1" applyAlignment="1">
      <alignment vertical="center"/>
    </xf>
    <xf numFmtId="0" fontId="27" fillId="0" borderId="22" xfId="1" applyFont="1" applyBorder="1" applyAlignment="1">
      <alignment vertical="center" wrapText="1"/>
    </xf>
    <xf numFmtId="14" fontId="27" fillId="0" borderId="22" xfId="1" applyNumberFormat="1" applyFont="1" applyBorder="1" applyAlignment="1">
      <alignment vertical="center"/>
    </xf>
    <xf numFmtId="37" fontId="28" fillId="0" borderId="22" xfId="1" applyNumberFormat="1" applyFont="1" applyBorder="1" applyAlignment="1">
      <alignment horizontal="center" vertical="center"/>
    </xf>
    <xf numFmtId="5" fontId="27" fillId="0" borderId="22" xfId="1" applyNumberFormat="1" applyFont="1" applyBorder="1" applyAlignment="1">
      <alignment vertical="center"/>
    </xf>
    <xf numFmtId="0" fontId="27" fillId="0" borderId="0" xfId="1" applyFont="1" applyAlignment="1">
      <alignment vertical="center"/>
    </xf>
    <xf numFmtId="0" fontId="27" fillId="0" borderId="23" xfId="1" applyFont="1" applyBorder="1" applyAlignment="1">
      <alignment vertical="center"/>
    </xf>
    <xf numFmtId="0" fontId="31" fillId="12" borderId="7" xfId="2" applyFont="1" applyFill="1" applyBorder="1" applyAlignment="1">
      <alignment horizontal="centerContinuous"/>
    </xf>
    <xf numFmtId="165" fontId="31" fillId="12" borderId="7" xfId="2" applyNumberFormat="1" applyFont="1" applyFill="1" applyBorder="1" applyAlignment="1">
      <alignment horizontal="centerContinuous"/>
    </xf>
    <xf numFmtId="0" fontId="27" fillId="0" borderId="23" xfId="1" applyFont="1" applyBorder="1" applyAlignment="1">
      <alignment vertical="center" wrapText="1"/>
    </xf>
    <xf numFmtId="5" fontId="30" fillId="0" borderId="0" xfId="1" applyNumberFormat="1" applyFont="1" applyAlignment="1">
      <alignment vertical="center"/>
    </xf>
    <xf numFmtId="5" fontId="30" fillId="0" borderId="23" xfId="1" applyNumberFormat="1" applyFont="1" applyBorder="1" applyAlignment="1">
      <alignment vertical="center"/>
    </xf>
    <xf numFmtId="0" fontId="0" fillId="0" borderId="24" xfId="0" applyBorder="1"/>
    <xf numFmtId="0" fontId="31" fillId="13" borderId="7" xfId="2" applyFont="1" applyFill="1" applyBorder="1" applyAlignment="1">
      <alignment horizontal="centerContinuous"/>
    </xf>
    <xf numFmtId="0" fontId="0" fillId="13" borderId="0" xfId="0" applyFill="1"/>
    <xf numFmtId="0" fontId="0" fillId="13" borderId="24" xfId="0" applyFill="1" applyBorder="1"/>
    <xf numFmtId="0" fontId="32" fillId="0" borderId="0" xfId="1" applyFont="1" applyAlignment="1">
      <alignment horizontal="right"/>
    </xf>
    <xf numFmtId="164" fontId="26" fillId="0" borderId="0" xfId="1" applyNumberFormat="1" applyFont="1" applyAlignment="1">
      <alignment vertical="center"/>
    </xf>
    <xf numFmtId="164" fontId="2" fillId="0" borderId="0" xfId="1" applyNumberFormat="1"/>
    <xf numFmtId="0" fontId="4" fillId="0" borderId="14" xfId="2" applyFont="1" applyBorder="1" applyAlignment="1">
      <alignment horizontal="left" vertical="center" wrapText="1"/>
    </xf>
    <xf numFmtId="0" fontId="16" fillId="0" borderId="14" xfId="2" applyFont="1" applyBorder="1" applyAlignment="1">
      <alignment horizontal="left" vertical="center" wrapText="1"/>
    </xf>
    <xf numFmtId="0" fontId="20" fillId="11" borderId="14" xfId="2" applyFont="1" applyFill="1" applyBorder="1" applyAlignment="1">
      <alignment horizontal="left" vertical="center" wrapText="1"/>
    </xf>
    <xf numFmtId="0" fontId="21" fillId="0" borderId="19" xfId="2" applyFont="1" applyBorder="1" applyAlignment="1">
      <alignment horizontal="center" vertical="center" wrapText="1"/>
    </xf>
    <xf numFmtId="0" fontId="10" fillId="3" borderId="1" xfId="2" applyFont="1" applyFill="1" applyBorder="1" applyAlignment="1">
      <alignment horizontal="center"/>
    </xf>
    <xf numFmtId="37" fontId="30" fillId="8" borderId="23" xfId="1" applyNumberFormat="1" applyFont="1" applyFill="1" applyBorder="1" applyAlignment="1">
      <alignment horizontal="center" vertical="center"/>
    </xf>
    <xf numFmtId="164" fontId="27" fillId="14" borderId="23" xfId="1" applyNumberFormat="1" applyFont="1" applyFill="1" applyBorder="1" applyAlignment="1">
      <alignment horizontal="center" vertical="center"/>
    </xf>
    <xf numFmtId="14" fontId="16" fillId="0" borderId="14" xfId="2" applyNumberFormat="1" applyFont="1" applyBorder="1" applyAlignment="1">
      <alignment horizontal="center" vertical="center"/>
    </xf>
    <xf numFmtId="0" fontId="5" fillId="6" borderId="0" xfId="0" applyFont="1" applyFill="1" applyAlignment="1">
      <alignment horizontal="center"/>
    </xf>
    <xf numFmtId="0" fontId="15" fillId="6" borderId="0" xfId="0" applyFont="1" applyFill="1" applyAlignment="1">
      <alignment horizontal="center"/>
    </xf>
    <xf numFmtId="0" fontId="5" fillId="15" borderId="14" xfId="0" applyFont="1" applyFill="1" applyBorder="1" applyAlignment="1">
      <alignment horizontal="center" vertical="center"/>
    </xf>
    <xf numFmtId="0" fontId="4" fillId="15" borderId="14" xfId="0" applyFont="1" applyFill="1" applyBorder="1" applyAlignment="1">
      <alignment horizontal="center" vertical="center" wrapText="1"/>
    </xf>
    <xf numFmtId="0" fontId="5" fillId="16" borderId="14" xfId="0" applyFont="1" applyFill="1" applyBorder="1" applyAlignment="1">
      <alignment horizontal="center" vertical="center"/>
    </xf>
    <xf numFmtId="0" fontId="5" fillId="17" borderId="17" xfId="0" quotePrefix="1" applyFont="1" applyFill="1" applyBorder="1" applyAlignment="1">
      <alignment horizontal="left" vertical="center" wrapText="1" indent="1"/>
    </xf>
    <xf numFmtId="0" fontId="5" fillId="17" borderId="16" xfId="0" applyFont="1" applyFill="1" applyBorder="1" applyAlignment="1">
      <alignment horizontal="center" vertical="center"/>
    </xf>
    <xf numFmtId="0" fontId="4" fillId="17" borderId="16" xfId="0" applyFont="1" applyFill="1" applyBorder="1" applyAlignment="1">
      <alignment horizontal="center" vertical="center"/>
    </xf>
    <xf numFmtId="0" fontId="4" fillId="17" borderId="16" xfId="0" applyFont="1" applyFill="1" applyBorder="1" applyAlignment="1">
      <alignment horizontal="center" vertical="center" wrapText="1"/>
    </xf>
    <xf numFmtId="0" fontId="5" fillId="17" borderId="13" xfId="0" applyFont="1" applyFill="1" applyBorder="1" applyAlignment="1">
      <alignment horizontal="center" vertical="center" wrapText="1"/>
    </xf>
    <xf numFmtId="0" fontId="5" fillId="17" borderId="14" xfId="0" applyFont="1" applyFill="1" applyBorder="1" applyAlignment="1">
      <alignment horizontal="center" vertical="center"/>
    </xf>
    <xf numFmtId="0" fontId="5" fillId="16" borderId="19" xfId="0" applyFont="1" applyFill="1" applyBorder="1" applyAlignment="1">
      <alignment horizontal="left" vertical="center" indent="1"/>
    </xf>
    <xf numFmtId="0" fontId="5" fillId="16" borderId="19" xfId="0" applyFont="1" applyFill="1" applyBorder="1" applyAlignment="1">
      <alignment horizontal="center" vertical="center"/>
    </xf>
    <xf numFmtId="0" fontId="5" fillId="16" borderId="19" xfId="0" applyFont="1" applyFill="1" applyBorder="1" applyAlignment="1">
      <alignment horizontal="center" vertical="center" wrapText="1"/>
    </xf>
    <xf numFmtId="0" fontId="5" fillId="17" borderId="15" xfId="0" applyFont="1" applyFill="1" applyBorder="1" applyAlignment="1">
      <alignment horizontal="center" vertical="center" wrapText="1"/>
    </xf>
    <xf numFmtId="0" fontId="4" fillId="17" borderId="18" xfId="0" quotePrefix="1" applyFont="1" applyFill="1" applyBorder="1" applyAlignment="1">
      <alignment horizontal="left" vertical="center" wrapText="1" indent="1"/>
    </xf>
    <xf numFmtId="0" fontId="4" fillId="17" borderId="14" xfId="0" quotePrefix="1" applyFont="1" applyFill="1" applyBorder="1" applyAlignment="1">
      <alignment horizontal="center" vertical="center" wrapText="1"/>
    </xf>
    <xf numFmtId="0" fontId="4" fillId="17" borderId="17" xfId="0" quotePrefix="1" applyFont="1" applyFill="1" applyBorder="1" applyAlignment="1">
      <alignment horizontal="center" vertical="center" wrapText="1"/>
    </xf>
    <xf numFmtId="0" fontId="4" fillId="17" borderId="14" xfId="0" applyFont="1" applyFill="1" applyBorder="1" applyAlignment="1">
      <alignment horizontal="center" vertical="center" wrapText="1"/>
    </xf>
    <xf numFmtId="0" fontId="4" fillId="17" borderId="17" xfId="0" quotePrefix="1" applyFont="1" applyFill="1" applyBorder="1" applyAlignment="1">
      <alignment horizontal="left" vertical="center" wrapText="1" indent="1"/>
    </xf>
    <xf numFmtId="0" fontId="4" fillId="17" borderId="16" xfId="0" quotePrefix="1" applyFont="1" applyFill="1" applyBorder="1" applyAlignment="1">
      <alignment horizontal="center" vertical="center" wrapText="1"/>
    </xf>
    <xf numFmtId="0" fontId="5" fillId="16" borderId="14" xfId="0" applyFont="1" applyFill="1" applyBorder="1" applyAlignment="1">
      <alignment horizontal="left" vertical="center" wrapText="1" indent="1"/>
    </xf>
    <xf numFmtId="0" fontId="4" fillId="16" borderId="14" xfId="0" applyFont="1" applyFill="1" applyBorder="1" applyAlignment="1">
      <alignment horizontal="center" vertical="center"/>
    </xf>
    <xf numFmtId="0" fontId="4" fillId="16" borderId="14" xfId="0" applyFont="1" applyFill="1" applyBorder="1" applyAlignment="1">
      <alignment horizontal="center" vertical="center" wrapText="1"/>
    </xf>
    <xf numFmtId="0" fontId="5" fillId="17" borderId="0" xfId="0" applyFont="1" applyFill="1" applyAlignment="1">
      <alignment horizontal="center" vertical="center" wrapText="1"/>
    </xf>
    <xf numFmtId="0" fontId="16" fillId="5" borderId="19" xfId="0" applyFont="1" applyFill="1" applyBorder="1" applyAlignment="1">
      <alignment horizontal="left" vertical="center" indent="1"/>
    </xf>
    <xf numFmtId="0" fontId="5" fillId="16" borderId="19" xfId="0" applyFont="1" applyFill="1" applyBorder="1" applyAlignment="1">
      <alignment horizontal="left" vertical="center" indent="2"/>
    </xf>
    <xf numFmtId="0" fontId="5" fillId="16" borderId="14" xfId="0" applyFont="1" applyFill="1" applyBorder="1" applyAlignment="1">
      <alignment horizontal="left" vertical="center" indent="1"/>
    </xf>
    <xf numFmtId="0" fontId="5" fillId="16" borderId="14" xfId="0" applyFont="1" applyFill="1" applyBorder="1" applyAlignment="1">
      <alignment horizontal="center" vertical="center" wrapText="1"/>
    </xf>
    <xf numFmtId="0" fontId="4" fillId="15" borderId="19" xfId="0" applyFont="1" applyFill="1" applyBorder="1" applyAlignment="1">
      <alignment horizontal="center" vertical="center" wrapText="1"/>
    </xf>
    <xf numFmtId="14" fontId="23" fillId="0" borderId="0" xfId="0" applyNumberFormat="1" applyFont="1"/>
    <xf numFmtId="0" fontId="23" fillId="0" borderId="0" xfId="2" applyFont="1" applyAlignment="1">
      <alignment horizontal="center" vertical="center"/>
    </xf>
    <xf numFmtId="14" fontId="15" fillId="0" borderId="0" xfId="2" applyNumberFormat="1" applyFont="1" applyAlignment="1">
      <alignment horizontal="right"/>
    </xf>
    <xf numFmtId="0" fontId="5" fillId="0" borderId="0" xfId="2" applyFont="1" applyAlignment="1">
      <alignment horizontal="right"/>
    </xf>
    <xf numFmtId="0" fontId="31" fillId="13" borderId="7" xfId="2" applyFont="1" applyFill="1" applyBorder="1" applyAlignment="1">
      <alignment horizontal="centerContinuous" wrapText="1"/>
    </xf>
    <xf numFmtId="0" fontId="14" fillId="3" borderId="1" xfId="1" applyFont="1" applyFill="1" applyBorder="1" applyAlignment="1">
      <alignment horizontal="left"/>
    </xf>
    <xf numFmtId="0" fontId="14" fillId="3" borderId="1" xfId="1" applyFont="1" applyFill="1" applyBorder="1" applyAlignment="1">
      <alignment horizontal="center"/>
    </xf>
    <xf numFmtId="0" fontId="2" fillId="0" borderId="30" xfId="1" applyBorder="1"/>
    <xf numFmtId="0" fontId="5" fillId="12" borderId="14" xfId="2" applyFont="1" applyFill="1" applyBorder="1" applyAlignment="1">
      <alignment horizontal="center" vertical="center"/>
    </xf>
    <xf numFmtId="0" fontId="5" fillId="12" borderId="14" xfId="2" applyFont="1" applyFill="1" applyBorder="1" applyAlignment="1">
      <alignment horizontal="center" vertical="center" wrapText="1"/>
    </xf>
    <xf numFmtId="14" fontId="5" fillId="12" borderId="14" xfId="2" applyNumberFormat="1" applyFont="1" applyFill="1" applyBorder="1" applyAlignment="1">
      <alignment horizontal="center" vertical="center"/>
    </xf>
    <xf numFmtId="0" fontId="16" fillId="12" borderId="14" xfId="2" applyFont="1" applyFill="1" applyBorder="1" applyAlignment="1">
      <alignment horizontal="left" vertical="center" wrapText="1"/>
    </xf>
    <xf numFmtId="164" fontId="5" fillId="0" borderId="0" xfId="2" applyNumberFormat="1" applyFont="1"/>
    <xf numFmtId="166" fontId="5" fillId="0" borderId="0" xfId="2" applyNumberFormat="1" applyFont="1"/>
    <xf numFmtId="0" fontId="5" fillId="17" borderId="14" xfId="0" quotePrefix="1" applyFont="1" applyFill="1" applyBorder="1" applyAlignment="1">
      <alignment horizontal="left" vertical="center" wrapText="1"/>
    </xf>
    <xf numFmtId="0" fontId="5" fillId="17" borderId="14" xfId="0" applyFont="1" applyFill="1" applyBorder="1" applyAlignment="1">
      <alignment horizontal="center" vertical="center" wrapText="1"/>
    </xf>
    <xf numFmtId="0" fontId="5" fillId="17" borderId="14" xfId="0" applyFont="1" applyFill="1" applyBorder="1" applyAlignment="1">
      <alignment horizontal="left" vertical="center" wrapText="1" indent="1"/>
    </xf>
    <xf numFmtId="0" fontId="5" fillId="17" borderId="14" xfId="0" applyFont="1" applyFill="1" applyBorder="1" applyAlignment="1">
      <alignment horizontal="left" vertical="center" indent="1"/>
    </xf>
    <xf numFmtId="0" fontId="5" fillId="17" borderId="19" xfId="0" applyFont="1" applyFill="1" applyBorder="1" applyAlignment="1">
      <alignment horizontal="left" vertical="center" indent="1"/>
    </xf>
    <xf numFmtId="0" fontId="5" fillId="17" borderId="17" xfId="0" quotePrefix="1" applyFont="1" applyFill="1" applyBorder="1" applyAlignment="1">
      <alignment horizontal="left" vertical="center" wrapText="1"/>
    </xf>
    <xf numFmtId="0" fontId="5" fillId="17" borderId="19" xfId="0" applyFont="1" applyFill="1" applyBorder="1" applyAlignment="1">
      <alignment horizontal="left" vertical="center" indent="2"/>
    </xf>
    <xf numFmtId="0" fontId="16" fillId="15" borderId="14" xfId="0" applyFont="1" applyFill="1" applyBorder="1" applyAlignment="1">
      <alignment horizontal="center" vertical="center"/>
    </xf>
    <xf numFmtId="0" fontId="5" fillId="17" borderId="19" xfId="0" applyFont="1" applyFill="1" applyBorder="1" applyAlignment="1">
      <alignment horizontal="center" vertical="center"/>
    </xf>
    <xf numFmtId="0" fontId="5" fillId="17" borderId="19" xfId="0" applyFont="1" applyFill="1" applyBorder="1" applyAlignment="1">
      <alignment horizontal="center" vertical="center" wrapText="1"/>
    </xf>
    <xf numFmtId="0" fontId="4" fillId="17" borderId="19" xfId="0" applyFont="1" applyFill="1" applyBorder="1" applyAlignment="1">
      <alignment horizontal="center" vertical="center" wrapText="1"/>
    </xf>
    <xf numFmtId="0" fontId="16" fillId="17" borderId="14" xfId="0" applyFont="1" applyFill="1" applyBorder="1" applyAlignment="1">
      <alignment horizontal="center" vertical="center"/>
    </xf>
    <xf numFmtId="0" fontId="16" fillId="17" borderId="19" xfId="0" applyFont="1" applyFill="1" applyBorder="1" applyAlignment="1">
      <alignment horizontal="left" vertical="center" indent="2"/>
    </xf>
    <xf numFmtId="0" fontId="16" fillId="17" borderId="19" xfId="0" applyFont="1" applyFill="1" applyBorder="1" applyAlignment="1">
      <alignment horizontal="center" vertical="center"/>
    </xf>
    <xf numFmtId="0" fontId="16" fillId="17" borderId="19" xfId="0" applyFont="1" applyFill="1" applyBorder="1" applyAlignment="1">
      <alignment horizontal="center" vertical="center" wrapText="1"/>
    </xf>
    <xf numFmtId="0" fontId="16" fillId="17" borderId="15" xfId="0" applyFont="1" applyFill="1" applyBorder="1" applyAlignment="1">
      <alignment horizontal="center" vertical="center" wrapText="1"/>
    </xf>
    <xf numFmtId="0" fontId="5" fillId="17" borderId="1" xfId="0" applyFont="1" applyFill="1" applyBorder="1" applyAlignment="1">
      <alignment horizontal="center" vertical="center"/>
    </xf>
    <xf numFmtId="0" fontId="5" fillId="17" borderId="12" xfId="0" applyFont="1" applyFill="1" applyBorder="1" applyAlignment="1">
      <alignment horizontal="center" vertical="center" wrapText="1"/>
    </xf>
    <xf numFmtId="0" fontId="16" fillId="17" borderId="14" xfId="0" applyFont="1" applyFill="1" applyBorder="1" applyAlignment="1">
      <alignment horizontal="left" vertical="center" wrapText="1" indent="1"/>
    </xf>
    <xf numFmtId="0" fontId="16" fillId="17" borderId="14" xfId="0" applyFont="1" applyFill="1" applyBorder="1" applyAlignment="1">
      <alignment horizontal="center" vertical="center" wrapText="1"/>
    </xf>
    <xf numFmtId="0" fontId="16" fillId="17" borderId="0" xfId="0" applyFont="1" applyFill="1" applyAlignment="1">
      <alignment horizontal="center" vertical="center" wrapText="1"/>
    </xf>
    <xf numFmtId="0" fontId="4" fillId="17" borderId="14" xfId="0" applyFont="1" applyFill="1" applyBorder="1" applyAlignment="1">
      <alignment horizontal="center" vertical="center"/>
    </xf>
    <xf numFmtId="0" fontId="16" fillId="0" borderId="19" xfId="2" quotePrefix="1" applyFont="1" applyBorder="1" applyAlignment="1">
      <alignment horizontal="left" vertical="center" wrapText="1"/>
    </xf>
    <xf numFmtId="0" fontId="20" fillId="11" borderId="19" xfId="2" quotePrefix="1" applyFont="1" applyFill="1" applyBorder="1" applyAlignment="1">
      <alignment horizontal="left" vertical="center" wrapText="1"/>
    </xf>
    <xf numFmtId="0" fontId="20" fillId="3" borderId="12" xfId="2" applyFont="1" applyFill="1" applyBorder="1" applyAlignment="1">
      <alignment horizontal="left"/>
    </xf>
    <xf numFmtId="0" fontId="16" fillId="0" borderId="19" xfId="2" applyFont="1" applyBorder="1" applyAlignment="1">
      <alignment horizontal="left" vertical="center" wrapText="1"/>
    </xf>
    <xf numFmtId="0" fontId="16" fillId="0" borderId="16" xfId="2" applyFont="1" applyBorder="1" applyAlignment="1">
      <alignment horizontal="left" vertical="center" wrapText="1"/>
    </xf>
    <xf numFmtId="0" fontId="44" fillId="0" borderId="19" xfId="2" applyFont="1" applyBorder="1" applyAlignment="1">
      <alignment horizontal="center" vertical="center" wrapText="1"/>
    </xf>
    <xf numFmtId="0" fontId="45" fillId="0" borderId="14" xfId="2" applyFont="1" applyBorder="1" applyAlignment="1">
      <alignment horizontal="center" vertical="center"/>
    </xf>
    <xf numFmtId="0" fontId="45" fillId="0" borderId="19" xfId="2" applyFont="1" applyBorder="1" applyAlignment="1">
      <alignment horizontal="center" vertical="center"/>
    </xf>
    <xf numFmtId="14" fontId="45" fillId="0" borderId="14" xfId="2" applyNumberFormat="1" applyFont="1" applyBorder="1" applyAlignment="1">
      <alignment horizontal="center" vertical="center"/>
    </xf>
    <xf numFmtId="0" fontId="46" fillId="0" borderId="19" xfId="2" quotePrefix="1" applyFont="1" applyBorder="1" applyAlignment="1">
      <alignment horizontal="left" vertical="center" wrapText="1"/>
    </xf>
    <xf numFmtId="0" fontId="44" fillId="0" borderId="14" xfId="2" applyFont="1" applyBorder="1" applyAlignment="1">
      <alignment horizontal="center" vertical="center" wrapText="1"/>
    </xf>
    <xf numFmtId="0" fontId="46" fillId="0" borderId="14" xfId="2" applyFont="1" applyBorder="1" applyAlignment="1">
      <alignment horizontal="left" vertical="center" wrapText="1"/>
    </xf>
    <xf numFmtId="0" fontId="46" fillId="0" borderId="19" xfId="2" applyFont="1" applyBorder="1" applyAlignment="1">
      <alignment horizontal="left" vertical="center" wrapText="1"/>
    </xf>
    <xf numFmtId="0" fontId="1" fillId="0" borderId="0" xfId="1" applyFont="1"/>
    <xf numFmtId="0" fontId="16" fillId="0" borderId="19" xfId="2" applyFont="1" applyBorder="1" applyAlignment="1">
      <alignment horizontal="center" vertical="center" wrapText="1"/>
    </xf>
    <xf numFmtId="14" fontId="16" fillId="0" borderId="19" xfId="2" applyNumberFormat="1" applyFont="1" applyBorder="1" applyAlignment="1">
      <alignment horizontal="left" vertical="center" wrapText="1"/>
    </xf>
    <xf numFmtId="0" fontId="33" fillId="0" borderId="0" xfId="0" applyFont="1" applyAlignment="1">
      <alignment horizontal="left"/>
    </xf>
    <xf numFmtId="0" fontId="33" fillId="0" borderId="0" xfId="0" applyFont="1" applyAlignment="1">
      <alignment horizontal="left" vertical="top"/>
    </xf>
    <xf numFmtId="0" fontId="33" fillId="0" borderId="0" xfId="0" applyFont="1" applyAlignment="1">
      <alignment horizontal="left" vertical="top" wrapText="1"/>
    </xf>
    <xf numFmtId="0" fontId="33" fillId="0" borderId="25" xfId="0" applyFont="1" applyBorder="1"/>
    <xf numFmtId="0" fontId="33" fillId="0" borderId="0" xfId="0" applyFont="1"/>
    <xf numFmtId="0" fontId="33" fillId="0" borderId="25" xfId="0" applyFont="1" applyBorder="1" applyAlignment="1">
      <alignment vertical="center"/>
    </xf>
    <xf numFmtId="0" fontId="33" fillId="0" borderId="0" xfId="0" applyFont="1" applyAlignment="1">
      <alignmen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20" borderId="0" xfId="0" applyFont="1" applyFill="1" applyAlignment="1">
      <alignment horizontal="left" vertical="center"/>
    </xf>
    <xf numFmtId="0" fontId="37" fillId="0" borderId="0" xfId="0" applyFont="1" applyAlignment="1">
      <alignment horizontal="center" vertical="center"/>
    </xf>
    <xf numFmtId="0" fontId="38" fillId="19" borderId="27" xfId="0" applyFont="1" applyFill="1" applyBorder="1" applyAlignment="1">
      <alignment horizontal="center"/>
    </xf>
    <xf numFmtId="0" fontId="38" fillId="19" borderId="27" xfId="0" applyFont="1" applyFill="1" applyBorder="1"/>
    <xf numFmtId="0" fontId="33" fillId="0" borderId="29" xfId="0" applyFont="1" applyBorder="1"/>
    <xf numFmtId="0" fontId="39" fillId="0" borderId="0" xfId="0" applyFont="1" applyAlignment="1">
      <alignment horizontal="left" vertical="top"/>
    </xf>
    <xf numFmtId="0" fontId="33" fillId="0" borderId="0" xfId="0" applyFont="1" applyAlignment="1">
      <alignment vertical="top" wrapText="1"/>
    </xf>
    <xf numFmtId="0" fontId="33" fillId="21" borderId="0" xfId="0" applyFont="1" applyFill="1" applyAlignment="1">
      <alignment vertical="top" wrapText="1"/>
    </xf>
    <xf numFmtId="0" fontId="33" fillId="0" borderId="0" xfId="0" applyFont="1" applyAlignment="1">
      <alignment horizontal="center"/>
    </xf>
    <xf numFmtId="0" fontId="33" fillId="0" borderId="0" xfId="0" applyFont="1" applyAlignment="1">
      <alignment vertical="top"/>
    </xf>
    <xf numFmtId="0" fontId="41" fillId="0" borderId="0" xfId="0" applyFont="1"/>
    <xf numFmtId="0" fontId="42" fillId="0" borderId="0" xfId="0" applyFont="1" applyAlignment="1">
      <alignment horizontal="left" vertical="top"/>
    </xf>
    <xf numFmtId="0" fontId="33" fillId="19" borderId="27" xfId="0" applyFont="1" applyFill="1" applyBorder="1" applyAlignment="1">
      <alignment horizontal="center"/>
    </xf>
    <xf numFmtId="0" fontId="33" fillId="19" borderId="27" xfId="0" applyFont="1" applyFill="1" applyBorder="1"/>
    <xf numFmtId="0" fontId="43" fillId="0" borderId="0" xfId="0" applyFont="1"/>
    <xf numFmtId="0" fontId="43" fillId="0" borderId="0" xfId="0" applyFont="1" applyAlignment="1">
      <alignment vertical="top" wrapText="1"/>
    </xf>
    <xf numFmtId="0" fontId="43" fillId="21" borderId="0" xfId="0" applyFont="1" applyFill="1" applyAlignment="1">
      <alignment vertical="top" wrapText="1"/>
    </xf>
    <xf numFmtId="0" fontId="47" fillId="21" borderId="0" xfId="0" applyFont="1" applyFill="1" applyAlignment="1">
      <alignment vertical="top" wrapText="1"/>
    </xf>
    <xf numFmtId="0" fontId="33" fillId="0" borderId="0" xfId="0" applyFont="1" applyAlignment="1">
      <alignment wrapText="1"/>
    </xf>
    <xf numFmtId="0" fontId="33" fillId="21" borderId="0" xfId="0" applyFont="1" applyFill="1"/>
    <xf numFmtId="0" fontId="48" fillId="0" borderId="14" xfId="2" applyFont="1" applyBorder="1" applyAlignment="1">
      <alignment horizontal="center" vertical="center" wrapText="1"/>
    </xf>
    <xf numFmtId="0" fontId="5" fillId="6" borderId="14" xfId="2" applyFont="1" applyFill="1" applyBorder="1" applyAlignment="1">
      <alignment horizontal="center" vertical="center"/>
    </xf>
    <xf numFmtId="0" fontId="5" fillId="6" borderId="19" xfId="2" applyFont="1" applyFill="1" applyBorder="1" applyAlignment="1">
      <alignment horizontal="center" vertical="center"/>
    </xf>
    <xf numFmtId="14" fontId="5" fillId="6" borderId="19" xfId="2" applyNumberFormat="1" applyFont="1" applyFill="1" applyBorder="1" applyAlignment="1">
      <alignment horizontal="center" vertical="center"/>
    </xf>
    <xf numFmtId="0" fontId="16" fillId="6" borderId="19" xfId="2" quotePrefix="1" applyFont="1" applyFill="1" applyBorder="1" applyAlignment="1">
      <alignment horizontal="left" vertical="center"/>
    </xf>
    <xf numFmtId="14" fontId="5" fillId="6" borderId="14" xfId="2" applyNumberFormat="1" applyFont="1" applyFill="1" applyBorder="1" applyAlignment="1">
      <alignment horizontal="center" vertical="center"/>
    </xf>
    <xf numFmtId="0" fontId="16" fillId="6" borderId="14" xfId="2" quotePrefix="1" applyFont="1" applyFill="1" applyBorder="1" applyAlignment="1">
      <alignment horizontal="left" vertical="center"/>
    </xf>
    <xf numFmtId="0" fontId="9" fillId="6" borderId="0" xfId="0" applyFont="1" applyFill="1"/>
    <xf numFmtId="0" fontId="5" fillId="6" borderId="0" xfId="2" applyFont="1" applyFill="1" applyAlignment="1">
      <alignment horizontal="center" vertical="center"/>
    </xf>
    <xf numFmtId="14" fontId="5" fillId="6" borderId="0" xfId="2" applyNumberFormat="1" applyFont="1" applyFill="1" applyAlignment="1">
      <alignment horizontal="center" vertical="center"/>
    </xf>
    <xf numFmtId="0" fontId="16" fillId="6" borderId="0" xfId="2" quotePrefix="1" applyFont="1" applyFill="1" applyAlignment="1">
      <alignment horizontal="left" vertical="center"/>
    </xf>
    <xf numFmtId="0" fontId="9" fillId="6" borderId="0" xfId="2" applyFont="1" applyFill="1" applyAlignment="1">
      <alignment horizontal="left" vertical="center"/>
    </xf>
    <xf numFmtId="0" fontId="3" fillId="3" borderId="0" xfId="0" applyFont="1" applyFill="1"/>
    <xf numFmtId="0" fontId="49" fillId="3" borderId="0" xfId="0" applyFont="1" applyFill="1"/>
    <xf numFmtId="0" fontId="5" fillId="6" borderId="14" xfId="2" applyFont="1" applyFill="1" applyBorder="1" applyAlignment="1">
      <alignment horizontal="center" vertical="center" wrapText="1"/>
    </xf>
    <xf numFmtId="0" fontId="6" fillId="6" borderId="0" xfId="0" applyFont="1" applyFill="1"/>
    <xf numFmtId="0" fontId="16" fillId="12" borderId="14" xfId="2" quotePrefix="1" applyFont="1" applyFill="1" applyBorder="1" applyAlignment="1">
      <alignment horizontal="left" vertical="center"/>
    </xf>
    <xf numFmtId="0" fontId="50" fillId="6" borderId="19" xfId="2" quotePrefix="1" applyFont="1" applyFill="1" applyBorder="1" applyAlignment="1">
      <alignment horizontal="left" vertical="center"/>
    </xf>
    <xf numFmtId="0" fontId="5" fillId="12" borderId="19" xfId="2" applyFont="1" applyFill="1" applyBorder="1" applyAlignment="1">
      <alignment horizontal="center" vertical="center"/>
    </xf>
    <xf numFmtId="14" fontId="5" fillId="12" borderId="19" xfId="2" applyNumberFormat="1" applyFont="1" applyFill="1" applyBorder="1" applyAlignment="1">
      <alignment horizontal="center" vertical="center"/>
    </xf>
    <xf numFmtId="0" fontId="16" fillId="12" borderId="19" xfId="2" quotePrefix="1" applyFont="1" applyFill="1" applyBorder="1" applyAlignment="1">
      <alignment horizontal="left" vertical="center"/>
    </xf>
    <xf numFmtId="37" fontId="5" fillId="0" borderId="0" xfId="2" applyNumberFormat="1" applyFont="1" applyAlignment="1">
      <alignment horizontal="center"/>
    </xf>
    <xf numFmtId="3" fontId="9" fillId="0" borderId="0" xfId="2" applyNumberFormat="1" applyFont="1"/>
    <xf numFmtId="14" fontId="15" fillId="0" borderId="0" xfId="2" applyNumberFormat="1" applyFont="1" applyAlignment="1">
      <alignment horizontal="center"/>
    </xf>
    <xf numFmtId="0" fontId="12" fillId="6" borderId="0" xfId="0" applyFont="1" applyFill="1"/>
    <xf numFmtId="37" fontId="5" fillId="0" borderId="0" xfId="2" applyNumberFormat="1" applyFont="1"/>
    <xf numFmtId="14" fontId="16" fillId="0" borderId="0" xfId="2" applyNumberFormat="1" applyFont="1" applyAlignment="1">
      <alignment horizontal="right"/>
    </xf>
    <xf numFmtId="9" fontId="5" fillId="0" borderId="0" xfId="2" applyNumberFormat="1" applyFont="1"/>
    <xf numFmtId="8" fontId="5" fillId="0" borderId="0" xfId="2" applyNumberFormat="1" applyFont="1"/>
    <xf numFmtId="0" fontId="5" fillId="0" borderId="0" xfId="2" applyFont="1" applyAlignment="1">
      <alignment horizontal="left"/>
    </xf>
    <xf numFmtId="0" fontId="9" fillId="0" borderId="1" xfId="2" applyFont="1" applyBorder="1" applyAlignment="1">
      <alignment horizontal="left"/>
    </xf>
    <xf numFmtId="0" fontId="5" fillId="0" borderId="1" xfId="2" applyFont="1" applyBorder="1" applyAlignment="1">
      <alignment horizontal="center"/>
    </xf>
    <xf numFmtId="0" fontId="9" fillId="0" borderId="1" xfId="2" applyFont="1" applyBorder="1" applyAlignment="1">
      <alignment horizontal="right"/>
    </xf>
    <xf numFmtId="0" fontId="5" fillId="0" borderId="17" xfId="0" quotePrefix="1" applyFont="1" applyBorder="1" applyAlignment="1">
      <alignment horizontal="left" vertical="center" wrapText="1" indent="1"/>
    </xf>
    <xf numFmtId="0" fontId="5" fillId="0" borderId="16" xfId="0" applyFont="1" applyBorder="1" applyAlignment="1">
      <alignment horizontal="center" vertical="center"/>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2" applyFont="1" applyBorder="1" applyAlignment="1">
      <alignment horizontal="left" vertical="center" wrapText="1"/>
    </xf>
    <xf numFmtId="4" fontId="5" fillId="0" borderId="0" xfId="2" applyNumberFormat="1" applyFont="1"/>
    <xf numFmtId="164" fontId="15" fillId="0" borderId="0" xfId="2" applyNumberFormat="1" applyFont="1"/>
    <xf numFmtId="14" fontId="5" fillId="0" borderId="0" xfId="2" applyNumberFormat="1" applyFont="1"/>
    <xf numFmtId="0" fontId="34" fillId="18" borderId="26" xfId="0" applyFont="1" applyFill="1" applyBorder="1" applyAlignment="1">
      <alignment horizontal="center" vertical="center"/>
    </xf>
    <xf numFmtId="0" fontId="35" fillId="0" borderId="27" xfId="0" applyFont="1" applyBorder="1" applyAlignment="1">
      <alignment horizontal="left" vertical="center"/>
    </xf>
    <xf numFmtId="0" fontId="38" fillId="19" borderId="28" xfId="0" applyFont="1" applyFill="1" applyBorder="1" applyAlignment="1">
      <alignment horizontal="center"/>
    </xf>
    <xf numFmtId="0" fontId="38" fillId="19" borderId="27" xfId="0" applyFont="1" applyFill="1" applyBorder="1" applyAlignment="1">
      <alignment horizontal="center"/>
    </xf>
    <xf numFmtId="0" fontId="36" fillId="0" borderId="0" xfId="0" applyFont="1" applyAlignment="1">
      <alignment horizontal="center" vertical="center"/>
    </xf>
  </cellXfs>
  <cellStyles count="4">
    <cellStyle name="Normal" xfId="0" builtinId="0"/>
    <cellStyle name="Normal 2" xfId="1" xr:uid="{3A63787B-B379-41C8-975F-DEA8EA5AF5D2}"/>
    <cellStyle name="Normal 3" xfId="2" xr:uid="{A8D7034F-18FE-49B5-B2DC-4A6A028FCAE1}"/>
    <cellStyle name="Normal 4" xfId="3" xr:uid="{993EBB01-A889-400C-A40B-7095CF309808}"/>
  </cellStyles>
  <dxfs count="9">
    <dxf>
      <font>
        <color theme="1" tint="0.34998626667073579"/>
      </font>
      <fill>
        <patternFill>
          <bgColor theme="5" tint="0.79998168889431442"/>
        </patternFill>
      </fill>
    </dxf>
    <dxf>
      <font>
        <color rgb="FFFFFFFF"/>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9933"/>
      <color rgb="FFFFFFFF"/>
      <color rgb="FF808080"/>
      <color rgb="FFFFFFCC"/>
      <color rgb="FFFDE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42333</xdr:rowOff>
    </xdr:from>
    <xdr:to>
      <xdr:col>2</xdr:col>
      <xdr:colOff>821265</xdr:colOff>
      <xdr:row>0</xdr:row>
      <xdr:rowOff>915549</xdr:rowOff>
    </xdr:to>
    <xdr:pic>
      <xdr:nvPicPr>
        <xdr:cNvPr id="2" name="Picture 1">
          <a:extLst>
            <a:ext uri="{FF2B5EF4-FFF2-40B4-BE49-F238E27FC236}">
              <a16:creationId xmlns:a16="http://schemas.microsoft.com/office/drawing/2014/main" id="{43BAAC48-AEF9-4D85-8CEA-258E58372C0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7" t="13668" r="7664" b="21297"/>
        <a:stretch/>
      </xdr:blipFill>
      <xdr:spPr>
        <a:xfrm>
          <a:off x="12700" y="42333"/>
          <a:ext cx="1852505" cy="873216"/>
        </a:xfrm>
        <a:prstGeom prst="rect">
          <a:avLst/>
        </a:prstGeom>
      </xdr:spPr>
    </xdr:pic>
    <xdr:clientData/>
  </xdr:twoCellAnchor>
  <xdr:twoCellAnchor editAs="oneCell">
    <xdr:from>
      <xdr:col>0</xdr:col>
      <xdr:colOff>12700</xdr:colOff>
      <xdr:row>0</xdr:row>
      <xdr:rowOff>42333</xdr:rowOff>
    </xdr:from>
    <xdr:to>
      <xdr:col>2</xdr:col>
      <xdr:colOff>821265</xdr:colOff>
      <xdr:row>0</xdr:row>
      <xdr:rowOff>915549</xdr:rowOff>
    </xdr:to>
    <xdr:pic>
      <xdr:nvPicPr>
        <xdr:cNvPr id="3" name="Picture 2">
          <a:extLst>
            <a:ext uri="{FF2B5EF4-FFF2-40B4-BE49-F238E27FC236}">
              <a16:creationId xmlns:a16="http://schemas.microsoft.com/office/drawing/2014/main" id="{B84EED73-1563-466C-B5B4-57A877C745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7" t="13668" r="7664" b="21297"/>
        <a:stretch/>
      </xdr:blipFill>
      <xdr:spPr>
        <a:xfrm>
          <a:off x="16510" y="44238"/>
          <a:ext cx="1848695" cy="8713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4328-AC7F-4354-A334-E4060E75BC45}">
  <sheetPr>
    <tabColor rgb="FFFF9933"/>
    <pageSetUpPr fitToPage="1"/>
  </sheetPr>
  <dimension ref="A2:V65610"/>
  <sheetViews>
    <sheetView showGridLines="0" tabSelected="1" view="pageBreakPreview" zoomScale="85" zoomScaleNormal="85" zoomScaleSheetLayoutView="85" workbookViewId="0">
      <pane xSplit="3" ySplit="8" topLeftCell="D141" activePane="bottomRight" state="frozen"/>
      <selection pane="bottomRight" activeCell="L51" sqref="L51"/>
      <selection pane="bottomLeft" activeCell="A9" sqref="A9"/>
      <selection pane="topRight" activeCell="D1" sqref="D1"/>
    </sheetView>
  </sheetViews>
  <sheetFormatPr defaultColWidth="9.140625" defaultRowHeight="15" outlineLevelRow="1" outlineLevelCol="1"/>
  <cols>
    <col min="1" max="1" width="9.140625" style="77"/>
    <col min="2" max="2" width="1.85546875" style="77" customWidth="1"/>
    <col min="3" max="3" width="10.140625" style="77" hidden="1" customWidth="1"/>
    <col min="4" max="4" width="7.85546875" style="77" customWidth="1" collapsed="1"/>
    <col min="5" max="5" width="70.42578125" style="79" bestFit="1" customWidth="1"/>
    <col min="6" max="6" width="30.42578125" style="77" bestFit="1" customWidth="1"/>
    <col min="7" max="7" width="18.5703125" style="79" bestFit="1" customWidth="1"/>
    <col min="8" max="8" width="18.5703125" style="79" customWidth="1"/>
    <col min="9" max="9" width="18.5703125" style="79" hidden="1" customWidth="1" outlineLevel="1"/>
    <col min="10" max="10" width="58" style="80" bestFit="1" customWidth="1" collapsed="1"/>
    <col min="11" max="11" width="45.140625" style="77" hidden="1" customWidth="1"/>
    <col min="12" max="12" width="3.85546875" style="77" customWidth="1"/>
    <col min="13" max="13" width="9.42578125" style="77" bestFit="1" customWidth="1"/>
    <col min="14" max="14" width="15.7109375" style="77" bestFit="1" customWidth="1"/>
    <col min="15" max="17" width="9.140625" style="77"/>
    <col min="18" max="18" width="13.5703125" style="77" bestFit="1" customWidth="1"/>
    <col min="19" max="16384" width="9.140625" style="77"/>
  </cols>
  <sheetData>
    <row r="2" spans="1:18" ht="18.75">
      <c r="A2" s="79"/>
      <c r="D2" s="78" t="s">
        <v>0</v>
      </c>
      <c r="F2" s="310" t="s">
        <v>1</v>
      </c>
      <c r="G2" s="311"/>
      <c r="H2" s="312" t="s">
        <v>2</v>
      </c>
      <c r="I2" s="202" t="s">
        <v>3</v>
      </c>
    </row>
    <row r="3" spans="1:18">
      <c r="D3" s="81" t="s">
        <v>4</v>
      </c>
      <c r="F3" s="309" t="s">
        <v>5</v>
      </c>
      <c r="G3" s="201">
        <v>46013</v>
      </c>
      <c r="H3" s="305">
        <f t="shared" ref="H3:H12" ca="1" si="0">MAX(G3-TODAY(),0)</f>
        <v>0</v>
      </c>
      <c r="I3" s="305">
        <f t="shared" ref="I3" ca="1" si="1">+MAX(TODAY()-G3,0)</f>
        <v>204</v>
      </c>
      <c r="J3" s="79"/>
    </row>
    <row r="4" spans="1:18">
      <c r="D4" s="81"/>
      <c r="F4" s="309" t="s">
        <v>6</v>
      </c>
      <c r="G4" s="201">
        <v>46030</v>
      </c>
      <c r="H4" s="305">
        <f t="shared" ca="1" si="0"/>
        <v>0</v>
      </c>
      <c r="I4" s="305">
        <f ca="1">+MAX(TODAY()-G4,0)</f>
        <v>187</v>
      </c>
      <c r="J4" s="79"/>
    </row>
    <row r="5" spans="1:18">
      <c r="D5" s="81"/>
      <c r="F5" s="309" t="s">
        <v>7</v>
      </c>
      <c r="G5" s="201">
        <v>46101</v>
      </c>
      <c r="H5" s="305">
        <f t="shared" ca="1" si="0"/>
        <v>0</v>
      </c>
      <c r="I5" s="305">
        <f t="shared" ref="I5:I12" ca="1" si="2">+MAX(TODAY()-G5,0)</f>
        <v>116</v>
      </c>
      <c r="J5" s="79"/>
      <c r="M5" s="94"/>
    </row>
    <row r="6" spans="1:18">
      <c r="A6" s="211"/>
      <c r="D6" s="81"/>
      <c r="F6" s="309" t="s">
        <v>8</v>
      </c>
      <c r="G6" s="201">
        <f>+G5+30</f>
        <v>46131</v>
      </c>
      <c r="H6" s="305">
        <f t="shared" ref="H6" ca="1" si="3">MAX(G6-TODAY(),0)</f>
        <v>0</v>
      </c>
      <c r="I6" s="305">
        <f t="shared" ref="I6" ca="1" si="4">+MAX(TODAY()-G6,0)</f>
        <v>86</v>
      </c>
      <c r="J6" s="79"/>
      <c r="M6" s="94"/>
      <c r="Q6" s="307"/>
      <c r="R6" s="308"/>
    </row>
    <row r="7" spans="1:18">
      <c r="D7" s="81"/>
      <c r="F7" s="309" t="s">
        <v>9</v>
      </c>
      <c r="G7" s="201">
        <f>+G5+60</f>
        <v>46161</v>
      </c>
      <c r="H7" s="305">
        <f t="shared" ca="1" si="0"/>
        <v>0</v>
      </c>
      <c r="I7" s="305">
        <f t="shared" ca="1" si="2"/>
        <v>56</v>
      </c>
      <c r="J7" s="79"/>
      <c r="P7" s="318"/>
      <c r="Q7" s="307"/>
      <c r="R7" s="308"/>
    </row>
    <row r="8" spans="1:18">
      <c r="D8" s="81"/>
      <c r="F8" s="309" t="s">
        <v>10</v>
      </c>
      <c r="G8" s="306">
        <f>+G7+30</f>
        <v>46191</v>
      </c>
      <c r="H8" s="305">
        <f ca="1">MAX(G8-TODAY(),0)</f>
        <v>0</v>
      </c>
      <c r="I8" s="305">
        <f t="shared" ref="I8" ca="1" si="5">+MAX(TODAY()-G8,0)</f>
        <v>26</v>
      </c>
      <c r="J8" s="79"/>
      <c r="Q8" s="307"/>
      <c r="R8" s="308"/>
    </row>
    <row r="9" spans="1:18">
      <c r="D9" s="81"/>
      <c r="F9" s="309" t="s">
        <v>11</v>
      </c>
      <c r="G9" s="306">
        <f>+G5+105</f>
        <v>46206</v>
      </c>
      <c r="H9" s="305">
        <f ca="1">MAX(G9-TODAY(),0)</f>
        <v>0</v>
      </c>
      <c r="I9" s="305">
        <f t="shared" ca="1" si="2"/>
        <v>11</v>
      </c>
      <c r="J9" s="79"/>
    </row>
    <row r="10" spans="1:18">
      <c r="D10" s="81"/>
      <c r="F10" s="309" t="s">
        <v>12</v>
      </c>
      <c r="G10" s="201">
        <v>46253</v>
      </c>
      <c r="H10" s="305">
        <f t="shared" ref="H10" ca="1" si="6">MAX(G10-TODAY(),0)</f>
        <v>36</v>
      </c>
      <c r="I10" s="305">
        <f t="shared" ref="I10" ca="1" si="7">+MAX(TODAY()-G10,0)</f>
        <v>0</v>
      </c>
      <c r="J10" s="79"/>
    </row>
    <row r="11" spans="1:18">
      <c r="D11" s="81"/>
      <c r="F11" s="309" t="s">
        <v>13</v>
      </c>
      <c r="G11" s="306">
        <f>+G10+30</f>
        <v>46283</v>
      </c>
      <c r="H11" s="305">
        <f t="shared" ca="1" si="0"/>
        <v>66</v>
      </c>
      <c r="I11" s="305">
        <f t="shared" ca="1" si="2"/>
        <v>0</v>
      </c>
      <c r="J11" s="79"/>
    </row>
    <row r="12" spans="1:18">
      <c r="D12" s="81"/>
      <c r="F12" s="309" t="s">
        <v>14</v>
      </c>
      <c r="G12" s="201">
        <f>+G5+30*6+30</f>
        <v>46311</v>
      </c>
      <c r="H12" s="305">
        <f t="shared" ca="1" si="0"/>
        <v>94</v>
      </c>
      <c r="I12" s="305">
        <f t="shared" ca="1" si="2"/>
        <v>0</v>
      </c>
      <c r="J12" s="79"/>
      <c r="N12" s="303">
        <f ca="1">+TODAY()</f>
        <v>46217</v>
      </c>
    </row>
    <row r="13" spans="1:18">
      <c r="D13" s="81"/>
      <c r="F13" s="309"/>
      <c r="G13" s="201"/>
      <c r="H13" s="305"/>
      <c r="I13" s="305"/>
      <c r="J13" s="79"/>
      <c r="N13" s="303"/>
    </row>
    <row r="14" spans="1:18" ht="15.75" thickBot="1">
      <c r="C14" s="82" t="s">
        <v>15</v>
      </c>
      <c r="D14" s="83" t="s">
        <v>16</v>
      </c>
      <c r="E14" s="84" t="s">
        <v>17</v>
      </c>
      <c r="F14" s="84" t="s">
        <v>18</v>
      </c>
      <c r="G14" s="84" t="s">
        <v>19</v>
      </c>
      <c r="H14" s="113" t="s">
        <v>20</v>
      </c>
      <c r="I14" s="113" t="s">
        <v>21</v>
      </c>
      <c r="J14" s="85" t="s">
        <v>22</v>
      </c>
      <c r="K14" s="86" t="s">
        <v>23</v>
      </c>
      <c r="M14" s="87"/>
      <c r="N14" s="302" t="s">
        <v>24</v>
      </c>
    </row>
    <row r="15" spans="1:18" ht="14.45" hidden="1" outlineLevel="1">
      <c r="C15" s="88"/>
      <c r="D15" s="89" t="s">
        <v>25</v>
      </c>
      <c r="E15" s="90"/>
      <c r="F15" s="90"/>
      <c r="G15" s="90"/>
      <c r="H15" s="90"/>
      <c r="I15" s="90"/>
      <c r="J15" s="91"/>
      <c r="K15" s="92"/>
      <c r="M15" s="87"/>
      <c r="N15" s="301"/>
    </row>
    <row r="16" spans="1:18" ht="14.45" hidden="1" outlineLevel="1">
      <c r="C16" s="95"/>
      <c r="D16" s="96">
        <f>+MAX($D$14:D15)+1</f>
        <v>1</v>
      </c>
      <c r="E16" s="97" t="s">
        <v>26</v>
      </c>
      <c r="F16" s="96" t="s">
        <v>27</v>
      </c>
      <c r="G16" s="96" t="s">
        <v>28</v>
      </c>
      <c r="H16" s="96"/>
      <c r="I16" s="116" t="s">
        <v>29</v>
      </c>
      <c r="J16" s="162"/>
      <c r="K16" s="93"/>
      <c r="M16" s="115" t="s">
        <v>30</v>
      </c>
      <c r="N16" s="301" t="str">
        <f t="shared" ref="N16:N41" si="8">IF(OR($F16="Closed",ISBLANK(I16)),"-",IFERROR(MAX(I16-$N$12,0),"-"))</f>
        <v>-</v>
      </c>
    </row>
    <row r="17" spans="1:18" ht="14.45" hidden="1" outlineLevel="1">
      <c r="C17" s="96"/>
      <c r="D17" s="96">
        <f>+MAX($D$14:D16)+1</f>
        <v>2</v>
      </c>
      <c r="E17" s="97" t="s">
        <v>31</v>
      </c>
      <c r="F17" s="96" t="s">
        <v>27</v>
      </c>
      <c r="G17" s="96" t="s">
        <v>28</v>
      </c>
      <c r="H17" s="96"/>
      <c r="I17" s="116">
        <v>46027</v>
      </c>
      <c r="J17" s="162"/>
      <c r="K17" s="101"/>
      <c r="M17" s="200" t="s">
        <v>30</v>
      </c>
      <c r="N17" s="301" t="str">
        <f t="shared" si="8"/>
        <v>-</v>
      </c>
    </row>
    <row r="18" spans="1:18" ht="36" hidden="1" customHeight="1" outlineLevel="1">
      <c r="C18" s="96"/>
      <c r="D18" s="96">
        <f>+MAX($D$14:D17)+1</f>
        <v>3</v>
      </c>
      <c r="E18" s="97" t="s">
        <v>32</v>
      </c>
      <c r="F18" s="96" t="s">
        <v>27</v>
      </c>
      <c r="G18" s="96" t="s">
        <v>28</v>
      </c>
      <c r="H18" s="96"/>
      <c r="I18" s="116">
        <v>46082</v>
      </c>
      <c r="J18" s="162" t="s">
        <v>33</v>
      </c>
      <c r="K18" s="101"/>
      <c r="M18" s="200" t="s">
        <v>30</v>
      </c>
      <c r="N18" s="301" t="str">
        <f t="shared" si="8"/>
        <v>-</v>
      </c>
      <c r="R18" s="319"/>
    </row>
    <row r="19" spans="1:18" ht="45" hidden="1" customHeight="1" outlineLevel="1">
      <c r="C19" s="95"/>
      <c r="D19" s="96">
        <f>+MAX($D$14:D18)+1</f>
        <v>4</v>
      </c>
      <c r="E19" s="97" t="s">
        <v>34</v>
      </c>
      <c r="F19" s="96" t="s">
        <v>35</v>
      </c>
      <c r="G19" s="96" t="s">
        <v>28</v>
      </c>
      <c r="H19" s="96"/>
      <c r="I19" s="116">
        <f>+G11-60</f>
        <v>46223</v>
      </c>
      <c r="J19" s="161" t="s">
        <v>36</v>
      </c>
      <c r="K19" s="93"/>
      <c r="M19" s="115" t="s">
        <v>30</v>
      </c>
      <c r="N19" s="301">
        <f t="shared" ca="1" si="8"/>
        <v>6</v>
      </c>
      <c r="R19" s="211"/>
    </row>
    <row r="20" spans="1:18" ht="30.6" hidden="1" customHeight="1" outlineLevel="1">
      <c r="C20" s="95"/>
      <c r="D20" s="96">
        <f>+MAX($D$14:D19)+1</f>
        <v>5</v>
      </c>
      <c r="E20" s="97" t="s">
        <v>37</v>
      </c>
      <c r="F20" s="96" t="s">
        <v>35</v>
      </c>
      <c r="G20" s="96" t="s">
        <v>38</v>
      </c>
      <c r="H20" s="96"/>
      <c r="I20" s="116"/>
      <c r="J20" s="162" t="s">
        <v>39</v>
      </c>
      <c r="K20" s="93"/>
      <c r="M20" s="115"/>
      <c r="N20" s="301"/>
      <c r="R20" s="211"/>
    </row>
    <row r="21" spans="1:18" ht="14.45" hidden="1" outlineLevel="1">
      <c r="C21" s="95"/>
      <c r="D21" s="96">
        <f>+MAX($D$14:D20)+1</f>
        <v>6</v>
      </c>
      <c r="E21" s="97" t="s">
        <v>40</v>
      </c>
      <c r="F21" s="96" t="s">
        <v>35</v>
      </c>
      <c r="G21" s="96" t="s">
        <v>38</v>
      </c>
      <c r="H21" s="96"/>
      <c r="I21" s="116">
        <v>46082</v>
      </c>
      <c r="J21" s="162" t="s">
        <v>41</v>
      </c>
      <c r="K21" s="93"/>
      <c r="M21" s="115" t="s">
        <v>30</v>
      </c>
      <c r="N21" s="301">
        <f t="shared" ca="1" si="8"/>
        <v>0</v>
      </c>
      <c r="R21" s="211"/>
    </row>
    <row r="22" spans="1:18" collapsed="1">
      <c r="C22" s="88"/>
      <c r="D22" s="89" t="s">
        <v>42</v>
      </c>
      <c r="E22" s="90"/>
      <c r="F22" s="90"/>
      <c r="G22" s="90"/>
      <c r="H22" s="90"/>
      <c r="I22" s="90"/>
      <c r="J22" s="237"/>
      <c r="K22" s="92"/>
      <c r="M22" s="87"/>
      <c r="N22" s="301" t="str">
        <f t="shared" si="8"/>
        <v>-</v>
      </c>
    </row>
    <row r="23" spans="1:18">
      <c r="C23" s="96"/>
      <c r="D23" s="99">
        <f>+MAX($D$14:D22)+1</f>
        <v>7</v>
      </c>
      <c r="E23" s="100" t="s">
        <v>43</v>
      </c>
      <c r="F23" s="96" t="s">
        <v>27</v>
      </c>
      <c r="G23" s="96" t="s">
        <v>44</v>
      </c>
      <c r="H23" s="99"/>
      <c r="I23" s="114" t="s">
        <v>45</v>
      </c>
      <c r="J23" s="250"/>
      <c r="K23" s="101"/>
      <c r="M23" s="102"/>
      <c r="N23" s="301" t="str">
        <f t="shared" si="8"/>
        <v>-</v>
      </c>
    </row>
    <row r="24" spans="1:18">
      <c r="C24" s="95"/>
      <c r="D24" s="96">
        <f>+MAX($D$14:D23)+1</f>
        <v>8</v>
      </c>
      <c r="E24" s="97" t="s">
        <v>46</v>
      </c>
      <c r="F24" s="96" t="s">
        <v>27</v>
      </c>
      <c r="G24" s="96" t="s">
        <v>44</v>
      </c>
      <c r="H24" s="96"/>
      <c r="I24" s="114" t="s">
        <v>45</v>
      </c>
      <c r="J24" s="162" t="s">
        <v>47</v>
      </c>
      <c r="K24" s="93"/>
      <c r="M24" s="94"/>
      <c r="N24" s="301" t="str">
        <f t="shared" si="8"/>
        <v>-</v>
      </c>
    </row>
    <row r="25" spans="1:18">
      <c r="C25" s="95"/>
      <c r="D25" s="96">
        <f>+MAX($D$14:D24)+1</f>
        <v>9</v>
      </c>
      <c r="E25" s="97" t="s">
        <v>48</v>
      </c>
      <c r="F25" s="96" t="s">
        <v>27</v>
      </c>
      <c r="G25" s="96" t="s">
        <v>44</v>
      </c>
      <c r="H25" s="96"/>
      <c r="I25" s="114" t="s">
        <v>45</v>
      </c>
      <c r="J25" s="162" t="s">
        <v>49</v>
      </c>
      <c r="K25" s="93"/>
      <c r="M25" s="94"/>
      <c r="N25" s="301" t="str">
        <f t="shared" si="8"/>
        <v>-</v>
      </c>
    </row>
    <row r="26" spans="1:18">
      <c r="C26" s="95"/>
      <c r="D26" s="96">
        <f>+MAX($D$14:D25)+1</f>
        <v>10</v>
      </c>
      <c r="E26" s="97" t="s">
        <v>50</v>
      </c>
      <c r="F26" s="96" t="s">
        <v>27</v>
      </c>
      <c r="G26" s="96"/>
      <c r="H26" s="96" t="s">
        <v>51</v>
      </c>
      <c r="I26" s="114" t="s">
        <v>45</v>
      </c>
      <c r="J26" s="162" t="s">
        <v>52</v>
      </c>
      <c r="K26" s="93"/>
      <c r="M26" s="94"/>
      <c r="N26" s="301" t="str">
        <f t="shared" si="8"/>
        <v>-</v>
      </c>
    </row>
    <row r="27" spans="1:18" ht="43.15" customHeight="1">
      <c r="C27" s="95"/>
      <c r="D27" s="96">
        <f>+MAX($D$14:D26)+1</f>
        <v>11</v>
      </c>
      <c r="E27" s="97" t="s">
        <v>53</v>
      </c>
      <c r="F27" s="96" t="s">
        <v>35</v>
      </c>
      <c r="G27" s="96"/>
      <c r="H27" s="96"/>
      <c r="I27" s="114" t="s">
        <v>45</v>
      </c>
      <c r="J27" s="161" t="s">
        <v>54</v>
      </c>
      <c r="K27" s="93"/>
      <c r="M27" s="94"/>
      <c r="N27" s="301" t="str">
        <f t="shared" ref="N27" ca="1" si="9">IF(OR($F27="Closed",ISBLANK(I27)),"-",IFERROR(MAX(I27-$N$12,0),"-"))</f>
        <v>-</v>
      </c>
    </row>
    <row r="28" spans="1:18" ht="32.450000000000003" customHeight="1">
      <c r="C28" s="95"/>
      <c r="D28" s="96">
        <f>+MAX($D$14:D27)+1</f>
        <v>12</v>
      </c>
      <c r="E28" s="97" t="s">
        <v>55</v>
      </c>
      <c r="F28" s="96" t="s">
        <v>35</v>
      </c>
      <c r="G28" s="96"/>
      <c r="H28" s="96"/>
      <c r="I28" s="114" t="s">
        <v>45</v>
      </c>
      <c r="J28" s="161" t="s">
        <v>56</v>
      </c>
      <c r="K28" s="93"/>
      <c r="M28" s="94"/>
      <c r="N28" s="301" t="str">
        <f t="shared" ref="N28" ca="1" si="10">IF(OR($F28="Closed",ISBLANK(I28)),"-",IFERROR(MAX(I28-$N$12,0),"-"))</f>
        <v>-</v>
      </c>
    </row>
    <row r="29" spans="1:18">
      <c r="C29" s="88"/>
      <c r="D29" s="89" t="s">
        <v>57</v>
      </c>
      <c r="E29" s="165"/>
      <c r="F29" s="90"/>
      <c r="G29" s="90"/>
      <c r="H29" s="90"/>
      <c r="I29" s="90"/>
      <c r="J29" s="237"/>
      <c r="K29" s="92"/>
      <c r="M29" s="87"/>
      <c r="N29" s="301" t="str">
        <f t="shared" si="8"/>
        <v>-</v>
      </c>
    </row>
    <row r="30" spans="1:18">
      <c r="C30" s="96"/>
      <c r="D30" s="96">
        <f>+MAX($D$14:D29)+1</f>
        <v>13</v>
      </c>
      <c r="E30" s="100" t="s">
        <v>58</v>
      </c>
      <c r="F30" s="96" t="s">
        <v>27</v>
      </c>
      <c r="G30" s="96" t="s">
        <v>28</v>
      </c>
      <c r="H30" s="99" t="s">
        <v>59</v>
      </c>
      <c r="I30" s="114">
        <v>46101</v>
      </c>
      <c r="J30" s="235" t="s">
        <v>60</v>
      </c>
      <c r="K30" s="101"/>
      <c r="M30" s="102"/>
      <c r="N30" s="301" t="str">
        <f t="shared" si="8"/>
        <v>-</v>
      </c>
    </row>
    <row r="31" spans="1:18">
      <c r="C31" s="96"/>
      <c r="D31" s="96">
        <f>+MAX($D$14:D30)+1</f>
        <v>14</v>
      </c>
      <c r="E31" s="100" t="s">
        <v>61</v>
      </c>
      <c r="F31" s="96" t="s">
        <v>27</v>
      </c>
      <c r="G31" s="96" t="s">
        <v>28</v>
      </c>
      <c r="H31" s="99" t="s">
        <v>62</v>
      </c>
      <c r="I31" s="114">
        <v>46063</v>
      </c>
      <c r="J31" s="235" t="s">
        <v>63</v>
      </c>
      <c r="K31" s="101"/>
      <c r="M31" s="102"/>
      <c r="N31" s="301" t="str">
        <f t="shared" si="8"/>
        <v>-</v>
      </c>
    </row>
    <row r="32" spans="1:18">
      <c r="A32" s="79"/>
      <c r="C32" s="96"/>
      <c r="D32" s="96">
        <f>+MAX($D$14:D31)+1</f>
        <v>15</v>
      </c>
      <c r="E32" s="97" t="s">
        <v>64</v>
      </c>
      <c r="F32" s="96" t="s">
        <v>27</v>
      </c>
      <c r="G32" s="96" t="s">
        <v>28</v>
      </c>
      <c r="H32" s="99" t="s">
        <v>65</v>
      </c>
      <c r="I32" s="114">
        <v>46068</v>
      </c>
      <c r="J32" s="235" t="s">
        <v>66</v>
      </c>
      <c r="K32" s="101"/>
      <c r="M32" s="102"/>
      <c r="N32" s="301" t="str">
        <f t="shared" si="8"/>
        <v>-</v>
      </c>
    </row>
    <row r="33" spans="1:17">
      <c r="A33" s="79"/>
      <c r="C33" s="96"/>
      <c r="D33" s="96">
        <f>+MAX($D$14:D32)+1</f>
        <v>16</v>
      </c>
      <c r="E33" s="97" t="s">
        <v>67</v>
      </c>
      <c r="F33" s="96" t="s">
        <v>27</v>
      </c>
      <c r="G33" s="96" t="s">
        <v>28</v>
      </c>
      <c r="H33" s="99" t="s">
        <v>65</v>
      </c>
      <c r="I33" s="114">
        <v>46014</v>
      </c>
      <c r="J33" s="235" t="s">
        <v>66</v>
      </c>
      <c r="K33" s="101"/>
      <c r="M33" s="102"/>
      <c r="N33" s="301" t="str">
        <f t="shared" si="8"/>
        <v>-</v>
      </c>
    </row>
    <row r="34" spans="1:17">
      <c r="C34" s="96"/>
      <c r="D34" s="96">
        <f>+MAX($D$14:D33)+1</f>
        <v>17</v>
      </c>
      <c r="E34" s="100" t="s">
        <v>68</v>
      </c>
      <c r="F34" s="96" t="s">
        <v>35</v>
      </c>
      <c r="G34" s="96" t="s">
        <v>28</v>
      </c>
      <c r="H34" s="99" t="s">
        <v>69</v>
      </c>
      <c r="I34" s="114"/>
      <c r="J34" s="235" t="s">
        <v>70</v>
      </c>
      <c r="K34" s="101"/>
      <c r="M34" s="102"/>
      <c r="N34" s="301" t="str">
        <f t="shared" si="8"/>
        <v>-</v>
      </c>
      <c r="P34" s="77" t="s">
        <v>71</v>
      </c>
    </row>
    <row r="35" spans="1:17">
      <c r="C35" s="96"/>
      <c r="D35" s="96">
        <f>+MAX($D$14:D34)+1</f>
        <v>18</v>
      </c>
      <c r="E35" s="100" t="s">
        <v>72</v>
      </c>
      <c r="F35" s="96" t="s">
        <v>35</v>
      </c>
      <c r="G35" s="96" t="s">
        <v>28</v>
      </c>
      <c r="H35" s="99" t="s">
        <v>65</v>
      </c>
      <c r="I35" s="114"/>
      <c r="J35" s="235" t="s">
        <v>73</v>
      </c>
      <c r="K35" s="101"/>
      <c r="M35" s="102"/>
      <c r="N35" s="301" t="str">
        <f t="shared" si="8"/>
        <v>-</v>
      </c>
      <c r="P35" s="77" t="s">
        <v>71</v>
      </c>
    </row>
    <row r="36" spans="1:17" ht="14.45" hidden="1" outlineLevel="1">
      <c r="C36" s="96"/>
      <c r="D36" s="96">
        <f>+MAX($D$14:D35)+1</f>
        <v>19</v>
      </c>
      <c r="E36" s="100" t="s">
        <v>74</v>
      </c>
      <c r="F36" s="96" t="s">
        <v>27</v>
      </c>
      <c r="G36" s="96" t="s">
        <v>28</v>
      </c>
      <c r="H36" s="99" t="s">
        <v>62</v>
      </c>
      <c r="I36" s="114">
        <v>46143</v>
      </c>
      <c r="J36" s="235" t="s">
        <v>75</v>
      </c>
      <c r="K36" s="101"/>
      <c r="M36" s="115" t="s">
        <v>30</v>
      </c>
      <c r="N36" s="301" t="str">
        <f t="shared" si="8"/>
        <v>-</v>
      </c>
    </row>
    <row r="37" spans="1:17" ht="28.9" hidden="1" outlineLevel="1">
      <c r="C37" s="96"/>
      <c r="D37" s="96">
        <f>+MAX($D$14:D36)+1</f>
        <v>20</v>
      </c>
      <c r="E37" s="100" t="s">
        <v>76</v>
      </c>
      <c r="F37" s="96" t="s">
        <v>27</v>
      </c>
      <c r="G37" s="96" t="s">
        <v>28</v>
      </c>
      <c r="H37" s="99"/>
      <c r="I37" s="114">
        <v>46148</v>
      </c>
      <c r="J37" s="235" t="s">
        <v>77</v>
      </c>
      <c r="K37" s="101"/>
      <c r="M37" s="115" t="s">
        <v>30</v>
      </c>
      <c r="N37" s="301" t="str">
        <f t="shared" si="8"/>
        <v>-</v>
      </c>
    </row>
    <row r="38" spans="1:17" collapsed="1">
      <c r="C38" s="96"/>
      <c r="D38" s="117">
        <f>+MAX($D$14:D37)+1</f>
        <v>21</v>
      </c>
      <c r="E38" s="118" t="s">
        <v>78</v>
      </c>
      <c r="F38" s="117" t="s">
        <v>27</v>
      </c>
      <c r="G38" s="117" t="s">
        <v>28</v>
      </c>
      <c r="H38" s="119" t="s">
        <v>65</v>
      </c>
      <c r="I38" s="120">
        <f>WORKDAY($G$5,5)</f>
        <v>46108</v>
      </c>
      <c r="J38" s="236"/>
      <c r="K38" s="101"/>
      <c r="M38" s="102"/>
      <c r="N38" s="301" t="str">
        <f t="shared" si="8"/>
        <v>-</v>
      </c>
    </row>
    <row r="39" spans="1:17">
      <c r="C39" s="95"/>
      <c r="D39" s="117">
        <f>+MAX($D$14:D38)+1</f>
        <v>22</v>
      </c>
      <c r="E39" s="118" t="s">
        <v>79</v>
      </c>
      <c r="F39" s="117" t="s">
        <v>27</v>
      </c>
      <c r="G39" s="117" t="s">
        <v>28</v>
      </c>
      <c r="H39" s="119" t="s">
        <v>65</v>
      </c>
      <c r="I39" s="121">
        <f>WORKDAY($G$7,5)</f>
        <v>46168</v>
      </c>
      <c r="J39" s="163"/>
      <c r="K39" s="93"/>
      <c r="M39" s="94"/>
      <c r="N39" s="301" t="str">
        <f t="shared" si="8"/>
        <v>-</v>
      </c>
      <c r="P39" s="211"/>
    </row>
    <row r="40" spans="1:17">
      <c r="C40" s="95"/>
      <c r="D40" s="96">
        <f>+MAX($D$14:D39)+1</f>
        <v>23</v>
      </c>
      <c r="E40" s="97" t="s">
        <v>80</v>
      </c>
      <c r="F40" s="96" t="s">
        <v>27</v>
      </c>
      <c r="G40" s="96" t="s">
        <v>81</v>
      </c>
      <c r="H40" s="99" t="s">
        <v>82</v>
      </c>
      <c r="I40" s="114"/>
      <c r="J40" s="162" t="s">
        <v>83</v>
      </c>
      <c r="K40" s="93"/>
      <c r="M40" s="94"/>
      <c r="N40" s="301" t="str">
        <f t="shared" si="8"/>
        <v>-</v>
      </c>
      <c r="O40" s="212"/>
      <c r="Q40" s="211"/>
    </row>
    <row r="41" spans="1:17">
      <c r="C41" s="95"/>
      <c r="D41" s="96">
        <f>+MAX($D$14:D40)+1</f>
        <v>24</v>
      </c>
      <c r="E41" s="97" t="s">
        <v>84</v>
      </c>
      <c r="F41" s="96" t="s">
        <v>35</v>
      </c>
      <c r="G41" s="96"/>
      <c r="H41" s="99" t="s">
        <v>85</v>
      </c>
      <c r="I41" s="116"/>
      <c r="J41" s="162" t="s">
        <v>86</v>
      </c>
      <c r="K41" s="93"/>
      <c r="M41" s="94"/>
      <c r="N41" s="301" t="str">
        <f t="shared" si="8"/>
        <v>-</v>
      </c>
    </row>
    <row r="42" spans="1:17">
      <c r="C42" s="95"/>
      <c r="D42" s="96">
        <f>+MAX($D$14:D41)+1</f>
        <v>25</v>
      </c>
      <c r="E42" s="97" t="s">
        <v>87</v>
      </c>
      <c r="F42" s="96" t="s">
        <v>35</v>
      </c>
      <c r="G42" s="96" t="s">
        <v>28</v>
      </c>
      <c r="H42" s="99"/>
      <c r="I42" s="116">
        <v>46178</v>
      </c>
      <c r="J42" s="161" t="s">
        <v>88</v>
      </c>
      <c r="K42" s="93"/>
      <c r="M42" s="94"/>
      <c r="N42" s="301"/>
    </row>
    <row r="43" spans="1:17" ht="30">
      <c r="C43" s="95"/>
      <c r="D43" s="96">
        <f>+MAX($D$14:D42)+1</f>
        <v>26</v>
      </c>
      <c r="E43" s="97" t="s">
        <v>89</v>
      </c>
      <c r="F43" s="96" t="s">
        <v>27</v>
      </c>
      <c r="G43" s="96" t="s">
        <v>28</v>
      </c>
      <c r="H43" s="99"/>
      <c r="I43" s="116"/>
      <c r="J43" s="161"/>
      <c r="K43" s="93"/>
      <c r="M43" s="94"/>
      <c r="N43" s="301"/>
    </row>
    <row r="44" spans="1:17" ht="14.45" hidden="1" outlineLevel="1">
      <c r="C44" s="95"/>
      <c r="D44" s="96">
        <f>+MAX($D$14:D43)+1</f>
        <v>27</v>
      </c>
      <c r="E44" s="97" t="s">
        <v>90</v>
      </c>
      <c r="F44" s="96" t="s">
        <v>27</v>
      </c>
      <c r="G44" s="96" t="s">
        <v>44</v>
      </c>
      <c r="H44" s="99"/>
      <c r="I44" s="116"/>
      <c r="J44" s="162" t="s">
        <v>91</v>
      </c>
      <c r="K44" s="93"/>
      <c r="M44" s="94"/>
      <c r="N44" s="301"/>
    </row>
    <row r="45" spans="1:17" ht="14.45" hidden="1" outlineLevel="1">
      <c r="C45" s="95"/>
      <c r="D45" s="96">
        <f>+MAX($D$14:D44)+1</f>
        <v>28</v>
      </c>
      <c r="E45" s="97" t="s">
        <v>92</v>
      </c>
      <c r="F45" s="96" t="s">
        <v>27</v>
      </c>
      <c r="G45" s="96"/>
      <c r="H45" s="99" t="s">
        <v>85</v>
      </c>
      <c r="I45" s="116" t="s">
        <v>45</v>
      </c>
      <c r="J45" s="162" t="s">
        <v>93</v>
      </c>
      <c r="K45" s="93"/>
      <c r="M45" s="94"/>
      <c r="N45" s="301" t="str">
        <f>IF(OR($F45="Closed",ISBLANK(I45)),"-",IFERROR(MAX(I45-$N$12,0),"-"))</f>
        <v>-</v>
      </c>
    </row>
    <row r="46" spans="1:17" ht="14.45" hidden="1" outlineLevel="1">
      <c r="C46" s="95"/>
      <c r="D46" s="96">
        <f>+MAX($D$14:D45)+1</f>
        <v>29</v>
      </c>
      <c r="E46" s="97" t="s">
        <v>94</v>
      </c>
      <c r="F46" s="96" t="s">
        <v>27</v>
      </c>
      <c r="G46" s="96" t="s">
        <v>44</v>
      </c>
      <c r="H46" s="99"/>
      <c r="I46" s="116">
        <v>46100</v>
      </c>
      <c r="J46" s="162" t="s">
        <v>95</v>
      </c>
      <c r="K46" s="93"/>
      <c r="M46" s="94"/>
      <c r="N46" s="301"/>
    </row>
    <row r="47" spans="1:17" ht="14.45" hidden="1" outlineLevel="1">
      <c r="C47" s="95"/>
      <c r="D47" s="96">
        <f>+MAX($D$14:D46)+1</f>
        <v>30</v>
      </c>
      <c r="E47" s="97" t="s">
        <v>96</v>
      </c>
      <c r="F47" s="96" t="s">
        <v>27</v>
      </c>
      <c r="G47" s="96" t="s">
        <v>44</v>
      </c>
      <c r="H47" s="99"/>
      <c r="I47" s="116">
        <v>46100</v>
      </c>
      <c r="J47" s="162"/>
      <c r="K47" s="93"/>
      <c r="M47" s="94"/>
      <c r="N47" s="301"/>
    </row>
    <row r="48" spans="1:17" collapsed="1">
      <c r="C48" s="95"/>
      <c r="D48" s="96">
        <f>+MAX($D$14:D47)+1</f>
        <v>31</v>
      </c>
      <c r="E48" s="97" t="s">
        <v>97</v>
      </c>
      <c r="F48" s="96" t="s">
        <v>35</v>
      </c>
      <c r="G48" s="96" t="s">
        <v>28</v>
      </c>
      <c r="H48" s="99" t="s">
        <v>59</v>
      </c>
      <c r="I48" s="116" t="s">
        <v>45</v>
      </c>
      <c r="J48" s="162" t="s">
        <v>98</v>
      </c>
      <c r="K48" s="93"/>
      <c r="M48" s="94"/>
      <c r="N48" s="301" t="str">
        <f t="shared" ref="N48:N81" ca="1" si="11">IF(OR($F48="Closed",ISBLANK(I48)),"-",IFERROR(MAX(I48-$N$12,0),"-"))</f>
        <v>-</v>
      </c>
    </row>
    <row r="49" spans="3:14" ht="28.15" hidden="1" customHeight="1" outlineLevel="1">
      <c r="C49" s="95"/>
      <c r="D49" s="96">
        <f>+MAX($D$14:D48)+1</f>
        <v>32</v>
      </c>
      <c r="E49" s="98" t="s">
        <v>99</v>
      </c>
      <c r="F49" s="96" t="s">
        <v>35</v>
      </c>
      <c r="G49" s="96" t="s">
        <v>28</v>
      </c>
      <c r="H49" s="96" t="s">
        <v>65</v>
      </c>
      <c r="I49" s="116">
        <f>+G11-5</f>
        <v>46278</v>
      </c>
      <c r="J49" s="317" t="s">
        <v>100</v>
      </c>
      <c r="K49" s="93"/>
      <c r="M49" s="94"/>
      <c r="N49" s="301"/>
    </row>
    <row r="50" spans="3:14" ht="38.450000000000003" hidden="1" customHeight="1" outlineLevel="1">
      <c r="C50" s="95"/>
      <c r="D50" s="96">
        <f>+MAX($D$14:D49)+1</f>
        <v>33</v>
      </c>
      <c r="E50" s="97" t="s">
        <v>101</v>
      </c>
      <c r="F50" s="96" t="s">
        <v>27</v>
      </c>
      <c r="G50" s="96" t="s">
        <v>28</v>
      </c>
      <c r="H50" s="99" t="s">
        <v>59</v>
      </c>
      <c r="I50" s="116">
        <v>46145</v>
      </c>
      <c r="J50" s="162" t="s">
        <v>102</v>
      </c>
      <c r="K50" s="93"/>
      <c r="M50" s="94"/>
      <c r="N50" s="301" t="str">
        <f t="shared" si="11"/>
        <v>-</v>
      </c>
    </row>
    <row r="51" spans="3:14" ht="56.45" customHeight="1" collapsed="1">
      <c r="C51" s="95"/>
      <c r="D51" s="96">
        <f>+MAX($D$14:D50)+1</f>
        <v>34</v>
      </c>
      <c r="E51" s="97" t="s">
        <v>103</v>
      </c>
      <c r="F51" s="96" t="s">
        <v>35</v>
      </c>
      <c r="G51" s="96" t="s">
        <v>81</v>
      </c>
      <c r="H51" s="99" t="s">
        <v>59</v>
      </c>
      <c r="I51" s="116">
        <v>46241</v>
      </c>
      <c r="J51" s="162" t="s">
        <v>104</v>
      </c>
      <c r="K51" s="93"/>
      <c r="M51" s="94"/>
      <c r="N51" s="301"/>
    </row>
    <row r="52" spans="3:14" ht="14.45" hidden="1" outlineLevel="1">
      <c r="C52" s="95"/>
      <c r="D52" s="96">
        <f>+MAX($D$14:D51)+1</f>
        <v>35</v>
      </c>
      <c r="E52" s="97" t="s">
        <v>105</v>
      </c>
      <c r="F52" s="96" t="s">
        <v>27</v>
      </c>
      <c r="G52" s="96" t="s">
        <v>44</v>
      </c>
      <c r="H52" s="99" t="s">
        <v>59</v>
      </c>
      <c r="I52" s="116">
        <f>+G7+45</f>
        <v>46206</v>
      </c>
      <c r="J52" s="161"/>
      <c r="K52" s="93"/>
      <c r="M52" s="94"/>
      <c r="N52" s="301" t="str">
        <f t="shared" si="11"/>
        <v>-</v>
      </c>
    </row>
    <row r="53" spans="3:14" ht="14.45" hidden="1" outlineLevel="1">
      <c r="C53" s="95"/>
      <c r="D53" s="96">
        <f>+MAX($D$14:D52)+1</f>
        <v>36</v>
      </c>
      <c r="E53" s="97" t="s">
        <v>106</v>
      </c>
      <c r="F53" s="96" t="s">
        <v>27</v>
      </c>
      <c r="G53" s="96"/>
      <c r="H53" s="96" t="s">
        <v>65</v>
      </c>
      <c r="I53" s="116">
        <f>+I38</f>
        <v>46108</v>
      </c>
      <c r="J53" s="162" t="s">
        <v>107</v>
      </c>
      <c r="K53" s="93"/>
      <c r="M53" s="94"/>
      <c r="N53" s="301" t="str">
        <f t="shared" si="11"/>
        <v>-</v>
      </c>
    </row>
    <row r="54" spans="3:14" ht="14.45" hidden="1" outlineLevel="1">
      <c r="C54" s="96"/>
      <c r="D54" s="96">
        <f>+MAX($D$14:D53)+1</f>
        <v>37</v>
      </c>
      <c r="E54" s="97" t="s">
        <v>108</v>
      </c>
      <c r="F54" s="96" t="s">
        <v>27</v>
      </c>
      <c r="G54" s="96" t="s">
        <v>28</v>
      </c>
      <c r="H54" s="99" t="s">
        <v>109</v>
      </c>
      <c r="I54" s="116">
        <v>46118</v>
      </c>
      <c r="J54" s="162" t="s">
        <v>110</v>
      </c>
      <c r="K54" s="101"/>
      <c r="M54" s="102"/>
      <c r="N54" s="301" t="str">
        <f t="shared" si="11"/>
        <v>-</v>
      </c>
    </row>
    <row r="55" spans="3:14" ht="14.45" hidden="1" outlineLevel="1">
      <c r="C55" s="95"/>
      <c r="D55" s="96">
        <f>+MAX($D$14:D54)+1</f>
        <v>38</v>
      </c>
      <c r="E55" s="100" t="s">
        <v>111</v>
      </c>
      <c r="F55" s="96" t="s">
        <v>27</v>
      </c>
      <c r="G55" s="96" t="s">
        <v>44</v>
      </c>
      <c r="H55" s="99"/>
      <c r="I55" s="114"/>
      <c r="J55" s="162"/>
      <c r="K55" s="93"/>
      <c r="M55" s="94"/>
      <c r="N55" s="301" t="str">
        <f t="shared" si="11"/>
        <v>-</v>
      </c>
    </row>
    <row r="56" spans="3:14" collapsed="1">
      <c r="C56" s="88"/>
      <c r="D56" s="89" t="s">
        <v>112</v>
      </c>
      <c r="E56" s="165"/>
      <c r="F56" s="90"/>
      <c r="G56" s="90"/>
      <c r="H56" s="90"/>
      <c r="I56" s="90"/>
      <c r="J56" s="237"/>
      <c r="K56" s="92"/>
      <c r="M56" s="87"/>
      <c r="N56" s="301" t="str">
        <f t="shared" si="11"/>
        <v>-</v>
      </c>
    </row>
    <row r="57" spans="3:14" ht="14.45" hidden="1" outlineLevel="1">
      <c r="C57" s="96"/>
      <c r="D57" s="96">
        <f>+MAX($D$14:D56)+1</f>
        <v>39</v>
      </c>
      <c r="E57" s="164" t="str">
        <f>'Internal - DD Request List'!E44</f>
        <v>Engage Property Inspection Firm for full property review</v>
      </c>
      <c r="F57" s="96" t="s">
        <v>27</v>
      </c>
      <c r="G57" s="96"/>
      <c r="H57" s="99"/>
      <c r="I57" s="116"/>
      <c r="J57" s="235"/>
      <c r="K57" s="101"/>
      <c r="M57" s="102"/>
      <c r="N57" s="301" t="str">
        <f t="shared" si="11"/>
        <v>-</v>
      </c>
    </row>
    <row r="58" spans="3:14" ht="28.9" hidden="1" customHeight="1" outlineLevel="1">
      <c r="C58" s="96"/>
      <c r="D58" s="96">
        <f>+MAX($D$14:D57)+1</f>
        <v>40</v>
      </c>
      <c r="E58" s="108" t="str">
        <f>'Internal - DD Request List'!E45</f>
        <v>Physical Reports / Property Condition Reports</v>
      </c>
      <c r="F58" s="96" t="s">
        <v>27</v>
      </c>
      <c r="G58" s="96" t="s">
        <v>81</v>
      </c>
      <c r="H58" s="99"/>
      <c r="I58" s="116">
        <f>+G7</f>
        <v>46161</v>
      </c>
      <c r="J58" s="235" t="s">
        <v>113</v>
      </c>
      <c r="K58" s="101"/>
      <c r="M58" s="102"/>
      <c r="N58" s="301" t="str">
        <f t="shared" si="11"/>
        <v>-</v>
      </c>
    </row>
    <row r="59" spans="3:14" ht="14.45" hidden="1" outlineLevel="1">
      <c r="C59" s="96"/>
      <c r="D59" s="96">
        <f>+MAX($D$14:D58)+1</f>
        <v>41</v>
      </c>
      <c r="E59" s="249" t="s">
        <v>114</v>
      </c>
      <c r="F59" s="96" t="s">
        <v>27</v>
      </c>
      <c r="G59" s="96" t="s">
        <v>115</v>
      </c>
      <c r="H59" s="99"/>
      <c r="I59" s="116">
        <v>46052</v>
      </c>
      <c r="J59" s="235" t="s">
        <v>116</v>
      </c>
      <c r="K59" s="101"/>
      <c r="M59" s="102"/>
      <c r="N59" s="301" t="str">
        <f t="shared" si="11"/>
        <v>-</v>
      </c>
    </row>
    <row r="60" spans="3:14" ht="14.45" hidden="1" outlineLevel="1">
      <c r="C60" s="96"/>
      <c r="D60" s="96">
        <f>+MAX($D$14:D59)+1</f>
        <v>42</v>
      </c>
      <c r="E60" s="108" t="str">
        <f>'Internal - DD Request List'!E46</f>
        <v>Roof Reports/Repairs/Maintenance</v>
      </c>
      <c r="F60" s="96" t="s">
        <v>27</v>
      </c>
      <c r="G60" s="96" t="s">
        <v>81</v>
      </c>
      <c r="H60" s="99"/>
      <c r="I60" s="116">
        <v>46096</v>
      </c>
      <c r="J60" s="235" t="s">
        <v>117</v>
      </c>
      <c r="K60" s="101"/>
      <c r="M60" s="102"/>
      <c r="N60" s="301" t="str">
        <f t="shared" si="11"/>
        <v>-</v>
      </c>
    </row>
    <row r="61" spans="3:14" ht="14.45" hidden="1" outlineLevel="1">
      <c r="C61" s="96"/>
      <c r="D61" s="96">
        <f>+MAX($D$14:D60)+1</f>
        <v>43</v>
      </c>
      <c r="E61" s="240" t="str">
        <f>'Internal - DD Request List'!E47</f>
        <v>Structural &amp; Seismic Reports</v>
      </c>
      <c r="F61" s="241" t="s">
        <v>27</v>
      </c>
      <c r="G61" s="241" t="s">
        <v>81</v>
      </c>
      <c r="H61" s="242"/>
      <c r="I61" s="243">
        <v>46096</v>
      </c>
      <c r="J61" s="244" t="s">
        <v>118</v>
      </c>
      <c r="K61" s="101"/>
      <c r="M61" s="102"/>
      <c r="N61" s="301" t="str">
        <f t="shared" si="11"/>
        <v>-</v>
      </c>
    </row>
    <row r="62" spans="3:14" ht="28.9" hidden="1" outlineLevel="1" collapsed="1">
      <c r="C62" s="96"/>
      <c r="D62" s="96">
        <f>+MAX($D$14:D61)+1</f>
        <v>44</v>
      </c>
      <c r="E62" s="108" t="str">
        <f>'Internal - DD Request List'!E48</f>
        <v>Work Orders/PM Logs (HVAC, R&amp;M, Roof, etc.)</v>
      </c>
      <c r="F62" s="96" t="s">
        <v>27</v>
      </c>
      <c r="G62" s="96" t="s">
        <v>28</v>
      </c>
      <c r="H62" s="99"/>
      <c r="I62" s="116">
        <v>46096</v>
      </c>
      <c r="J62" s="235" t="str">
        <f>'Internal - DD Request List'!K48</f>
        <v>Rec'd Detailed Worklog 1/1-1/12, Summary 2025.  UHM is working with IT to get detailed log for 2025.</v>
      </c>
      <c r="K62" s="101"/>
      <c r="M62" s="102"/>
      <c r="N62" s="301" t="str">
        <f t="shared" si="11"/>
        <v>-</v>
      </c>
    </row>
    <row r="63" spans="3:14" ht="14.45" hidden="1" outlineLevel="1">
      <c r="C63" s="96"/>
      <c r="D63" s="96">
        <f>+MAX($D$14:D62)+1</f>
        <v>45</v>
      </c>
      <c r="E63" s="108" t="str">
        <f>'Internal - DD Request List'!E51</f>
        <v>Service Agreements (list)</v>
      </c>
      <c r="F63" s="96" t="s">
        <v>27</v>
      </c>
      <c r="G63" s="96" t="s">
        <v>81</v>
      </c>
      <c r="H63" s="99"/>
      <c r="I63" s="116">
        <v>46096</v>
      </c>
      <c r="J63" s="235" t="str">
        <f>'Internal - DD Request List'!K51</f>
        <v>Received: pest control, snow removal and janitorial. No others</v>
      </c>
      <c r="K63" s="101"/>
      <c r="M63" s="102"/>
      <c r="N63" s="301" t="str">
        <f t="shared" si="11"/>
        <v>-</v>
      </c>
    </row>
    <row r="64" spans="3:14" ht="14.45" hidden="1" outlineLevel="1">
      <c r="C64" s="96"/>
      <c r="D64" s="96">
        <f>+MAX($D$14:D63)+1</f>
        <v>46</v>
      </c>
      <c r="E64" s="240" t="str">
        <f>'Internal - DD Request List'!E52</f>
        <v>Warranties (list)</v>
      </c>
      <c r="F64" s="241" t="s">
        <v>27</v>
      </c>
      <c r="G64" s="241" t="s">
        <v>81</v>
      </c>
      <c r="H64" s="242"/>
      <c r="I64" s="243">
        <v>46096</v>
      </c>
      <c r="J64" s="244" t="str">
        <f>'Internal - DD Request List'!K52</f>
        <v>Seller: N/A</v>
      </c>
      <c r="K64" s="101"/>
      <c r="M64" s="102"/>
      <c r="N64" s="301" t="str">
        <f t="shared" si="11"/>
        <v>-</v>
      </c>
    </row>
    <row r="65" spans="3:22" ht="14.45" hidden="1" outlineLevel="1" collapsed="1">
      <c r="C65" s="96"/>
      <c r="D65" s="96">
        <f>+MAX($D$14:D64)+1</f>
        <v>47</v>
      </c>
      <c r="E65" s="108" t="str">
        <f>'Internal - DD Request List'!E53</f>
        <v>Vendor Contact List</v>
      </c>
      <c r="F65" s="96" t="s">
        <v>27</v>
      </c>
      <c r="G65" s="96" t="s">
        <v>81</v>
      </c>
      <c r="H65" s="99"/>
      <c r="I65" s="116">
        <v>46096</v>
      </c>
      <c r="J65" s="235"/>
      <c r="K65" s="101"/>
      <c r="M65" s="102"/>
      <c r="N65" s="301" t="str">
        <f t="shared" si="11"/>
        <v>-</v>
      </c>
      <c r="V65" s="320">
        <v>46204</v>
      </c>
    </row>
    <row r="66" spans="3:22" ht="28.9" hidden="1" outlineLevel="1" collapsed="1">
      <c r="C66" s="96"/>
      <c r="D66" s="96">
        <f>+MAX($D$14:D65)+1</f>
        <v>48</v>
      </c>
      <c r="E66" s="108" t="str">
        <f>'Internal - DD Request List'!E54</f>
        <v>Utility Account Numbers List &amp; Identification</v>
      </c>
      <c r="F66" s="96" t="s">
        <v>27</v>
      </c>
      <c r="G66" s="96" t="s">
        <v>28</v>
      </c>
      <c r="H66" s="99"/>
      <c r="I66" s="116">
        <v>46096</v>
      </c>
      <c r="J66" s="235" t="s">
        <v>119</v>
      </c>
      <c r="K66" s="101"/>
      <c r="M66" s="102"/>
      <c r="N66" s="301" t="str">
        <f t="shared" si="11"/>
        <v>-</v>
      </c>
    </row>
    <row r="67" spans="3:22" ht="14.45" hidden="1" outlineLevel="1">
      <c r="C67" s="96"/>
      <c r="D67" s="96">
        <f>+MAX($D$14:D66)+1</f>
        <v>49</v>
      </c>
      <c r="E67" s="108" t="str">
        <f>'Internal - DD Request List'!E55</f>
        <v>Utility Allowance Schedule</v>
      </c>
      <c r="F67" s="96" t="s">
        <v>27</v>
      </c>
      <c r="G67" s="96" t="s">
        <v>81</v>
      </c>
      <c r="H67" s="99"/>
      <c r="I67" s="116">
        <v>46096</v>
      </c>
      <c r="J67" s="235"/>
      <c r="K67" s="101"/>
      <c r="M67" s="102"/>
      <c r="N67" s="301" t="str">
        <f t="shared" si="11"/>
        <v>-</v>
      </c>
    </row>
    <row r="68" spans="3:22" ht="14.45" hidden="1" outlineLevel="1">
      <c r="C68" s="96"/>
      <c r="D68" s="96">
        <f>+MAX($D$14:D67)+1</f>
        <v>50</v>
      </c>
      <c r="E68" s="240" t="str">
        <f>'Internal - DD Request List'!E56</f>
        <v>Special Claims History</v>
      </c>
      <c r="F68" s="241" t="s">
        <v>27</v>
      </c>
      <c r="G68" s="241" t="s">
        <v>81</v>
      </c>
      <c r="H68" s="242"/>
      <c r="I68" s="243">
        <v>46096</v>
      </c>
      <c r="J68" s="244" t="str">
        <f>'Internal - DD Request List'!K56</f>
        <v>Seller: N/A</v>
      </c>
      <c r="K68" s="101"/>
      <c r="M68" s="102"/>
      <c r="N68" s="301" t="str">
        <f t="shared" si="11"/>
        <v>-</v>
      </c>
    </row>
    <row r="69" spans="3:22" ht="14.45" hidden="1" outlineLevel="1">
      <c r="C69" s="96"/>
      <c r="D69" s="96">
        <f>+MAX($D$14:D68)+1</f>
        <v>51</v>
      </c>
      <c r="E69" s="240" t="str">
        <f>'Internal - DD Request List'!E57</f>
        <v>Repayment Agreements (if any)</v>
      </c>
      <c r="F69" s="241" t="s">
        <v>27</v>
      </c>
      <c r="G69" s="241" t="s">
        <v>81</v>
      </c>
      <c r="H69" s="242"/>
      <c r="I69" s="243">
        <v>46096</v>
      </c>
      <c r="J69" s="244" t="str">
        <f>'Internal - DD Request List'!K57</f>
        <v>Seller: N/A</v>
      </c>
      <c r="K69" s="101"/>
      <c r="M69" s="102"/>
      <c r="N69" s="301" t="str">
        <f t="shared" si="11"/>
        <v>-</v>
      </c>
    </row>
    <row r="70" spans="3:22" ht="14.45" hidden="1" outlineLevel="1">
      <c r="C70" s="96"/>
      <c r="D70" s="96">
        <f>+MAX($D$14:D69)+1</f>
        <v>52</v>
      </c>
      <c r="E70" s="240" t="str">
        <f>'Internal - DD Request List'!E58</f>
        <v>VAWA Transfer Log (if applicable)</v>
      </c>
      <c r="F70" s="241" t="s">
        <v>27</v>
      </c>
      <c r="G70" s="241" t="s">
        <v>81</v>
      </c>
      <c r="H70" s="242"/>
      <c r="I70" s="243">
        <v>46096</v>
      </c>
      <c r="J70" s="244" t="str">
        <f>'Internal - DD Request List'!K58</f>
        <v>Seller: N/A</v>
      </c>
      <c r="K70" s="101"/>
      <c r="M70" s="102"/>
      <c r="N70" s="301" t="str">
        <f t="shared" si="11"/>
        <v>-</v>
      </c>
    </row>
    <row r="71" spans="3:22" ht="14.45" hidden="1" outlineLevel="1">
      <c r="C71" s="96"/>
      <c r="D71" s="96">
        <f>+MAX($D$14:D70)+1</f>
        <v>53</v>
      </c>
      <c r="E71" s="240" t="str">
        <f>'Internal - DD Request List'!E59</f>
        <v>Reasonable Accomodation Request Log (if applicable)</v>
      </c>
      <c r="F71" s="241" t="s">
        <v>27</v>
      </c>
      <c r="G71" s="241" t="s">
        <v>81</v>
      </c>
      <c r="H71" s="242"/>
      <c r="I71" s="243">
        <v>46096</v>
      </c>
      <c r="J71" s="244" t="str">
        <f>'Internal - DD Request List'!K59</f>
        <v>Seller: N/A</v>
      </c>
      <c r="K71" s="101"/>
      <c r="M71" s="102"/>
      <c r="N71" s="301" t="str">
        <f t="shared" si="11"/>
        <v>-</v>
      </c>
    </row>
    <row r="72" spans="3:22" ht="14.45" hidden="1" outlineLevel="1">
      <c r="C72" s="96"/>
      <c r="D72" s="96">
        <f>+MAX($D$14:D71)+1</f>
        <v>54</v>
      </c>
      <c r="E72" s="240" t="str">
        <f>'Internal - DD Request List'!E60</f>
        <v>Fire Escape (5 year certs)</v>
      </c>
      <c r="F72" s="241" t="s">
        <v>27</v>
      </c>
      <c r="G72" s="241" t="s">
        <v>81</v>
      </c>
      <c r="H72" s="242"/>
      <c r="I72" s="243">
        <v>46096</v>
      </c>
      <c r="J72" s="244" t="str">
        <f>'Internal - DD Request List'!K60</f>
        <v>Seller: N/A</v>
      </c>
      <c r="K72" s="101"/>
      <c r="M72" s="102"/>
      <c r="N72" s="301" t="str">
        <f t="shared" si="11"/>
        <v>-</v>
      </c>
    </row>
    <row r="73" spans="3:22" ht="14.45" hidden="1" outlineLevel="1">
      <c r="C73" s="96"/>
      <c r="D73" s="96">
        <f>+MAX($D$14:D72)+1</f>
        <v>55</v>
      </c>
      <c r="E73" s="240" t="str">
        <f>'Internal - DD Request List'!E61</f>
        <v>HVAC Unit Inventory and Description</v>
      </c>
      <c r="F73" s="241" t="s">
        <v>27</v>
      </c>
      <c r="G73" s="241" t="s">
        <v>81</v>
      </c>
      <c r="H73" s="242"/>
      <c r="I73" s="243">
        <v>46096</v>
      </c>
      <c r="J73" s="244" t="str">
        <f>'Internal - DD Request List'!K61</f>
        <v>Seller: N/A</v>
      </c>
      <c r="K73" s="101"/>
      <c r="M73" s="102"/>
      <c r="N73" s="301" t="str">
        <f t="shared" si="11"/>
        <v>-</v>
      </c>
    </row>
    <row r="74" spans="3:22" ht="14.45" hidden="1" outlineLevel="1">
      <c r="C74" s="96"/>
      <c r="D74" s="96">
        <f>+MAX($D$14:D73)+1</f>
        <v>56</v>
      </c>
      <c r="E74" s="240" t="str">
        <f>'Internal - DD Request List'!E62</f>
        <v>Infra-red/Thermographic Scan</v>
      </c>
      <c r="F74" s="241" t="s">
        <v>27</v>
      </c>
      <c r="G74" s="241" t="s">
        <v>81</v>
      </c>
      <c r="H74" s="242"/>
      <c r="I74" s="243">
        <v>46096</v>
      </c>
      <c r="J74" s="244" t="str">
        <f>'Internal - DD Request List'!K62</f>
        <v>Seller: N/A</v>
      </c>
      <c r="K74" s="101"/>
      <c r="M74" s="102"/>
      <c r="N74" s="301" t="str">
        <f t="shared" si="11"/>
        <v>-</v>
      </c>
    </row>
    <row r="75" spans="3:22" ht="28.9" hidden="1" outlineLevel="1">
      <c r="C75" s="95"/>
      <c r="D75" s="96">
        <f>+MAX($D$14:D74)+1</f>
        <v>57</v>
      </c>
      <c r="E75" s="97" t="s">
        <v>120</v>
      </c>
      <c r="F75" s="96" t="s">
        <v>27</v>
      </c>
      <c r="G75" s="96" t="s">
        <v>81</v>
      </c>
      <c r="H75" s="96"/>
      <c r="I75" s="116">
        <f>+G7</f>
        <v>46161</v>
      </c>
      <c r="J75" s="161" t="s">
        <v>121</v>
      </c>
      <c r="K75" s="93"/>
      <c r="M75" s="94"/>
      <c r="N75" s="301" t="str">
        <f t="shared" si="11"/>
        <v>-</v>
      </c>
    </row>
    <row r="76" spans="3:22" ht="14.45" hidden="1" outlineLevel="1">
      <c r="C76" s="95"/>
      <c r="D76" s="96">
        <f>+MAX($D$14:D75)+1</f>
        <v>58</v>
      </c>
      <c r="E76" s="97" t="s">
        <v>122</v>
      </c>
      <c r="F76" s="96" t="s">
        <v>27</v>
      </c>
      <c r="G76" s="96" t="s">
        <v>38</v>
      </c>
      <c r="H76" s="96" t="s">
        <v>51</v>
      </c>
      <c r="I76" s="116">
        <v>46096</v>
      </c>
      <c r="J76" s="162"/>
      <c r="K76" s="93"/>
      <c r="M76" s="94"/>
      <c r="N76" s="301" t="str">
        <f t="shared" si="11"/>
        <v>-</v>
      </c>
    </row>
    <row r="77" spans="3:22" ht="14.45" hidden="1" outlineLevel="1">
      <c r="C77" s="96"/>
      <c r="D77" s="207">
        <f>+MAX($D$14:D76)+1</f>
        <v>59</v>
      </c>
      <c r="E77" s="208" t="s">
        <v>123</v>
      </c>
      <c r="F77" s="207" t="s">
        <v>27</v>
      </c>
      <c r="G77" s="207" t="s">
        <v>44</v>
      </c>
      <c r="H77" s="207"/>
      <c r="I77" s="209">
        <v>46014</v>
      </c>
      <c r="J77" s="210"/>
      <c r="K77" s="101"/>
      <c r="M77" s="102"/>
      <c r="N77" s="301" t="str">
        <f t="shared" si="11"/>
        <v>-</v>
      </c>
    </row>
    <row r="78" spans="3:22" ht="14.45" hidden="1" outlineLevel="1">
      <c r="C78" s="95"/>
      <c r="D78" s="96">
        <f>+MAX($D$14:D77)+1</f>
        <v>60</v>
      </c>
      <c r="E78" s="98" t="s">
        <v>124</v>
      </c>
      <c r="F78" s="96" t="s">
        <v>27</v>
      </c>
      <c r="G78" s="96" t="s">
        <v>38</v>
      </c>
      <c r="H78" s="96"/>
      <c r="I78" s="168">
        <v>46060</v>
      </c>
      <c r="J78" s="162" t="s">
        <v>125</v>
      </c>
      <c r="K78" s="93"/>
      <c r="M78" s="94"/>
      <c r="N78" s="301" t="str">
        <f t="shared" si="11"/>
        <v>-</v>
      </c>
    </row>
    <row r="79" spans="3:22" ht="14.45" hidden="1" outlineLevel="1">
      <c r="C79" s="95"/>
      <c r="D79" s="96">
        <f>+MAX($D$14:D78)+1</f>
        <v>61</v>
      </c>
      <c r="E79" s="98" t="s">
        <v>126</v>
      </c>
      <c r="F79" s="96" t="s">
        <v>27</v>
      </c>
      <c r="G79" s="96" t="s">
        <v>127</v>
      </c>
      <c r="H79" s="96"/>
      <c r="I79" s="168"/>
      <c r="J79" s="162"/>
      <c r="K79" s="93"/>
      <c r="M79" s="94"/>
      <c r="N79" s="301" t="str">
        <f t="shared" si="11"/>
        <v>-</v>
      </c>
    </row>
    <row r="80" spans="3:22" ht="43.15" customHeight="1" collapsed="1">
      <c r="C80" s="95"/>
      <c r="D80" s="96">
        <f>+MAX($D$14:D79)+1</f>
        <v>62</v>
      </c>
      <c r="E80" s="110" t="str">
        <f>'Internal - DD Request List'!E11</f>
        <v>Title and Zoning review</v>
      </c>
      <c r="F80" s="96" t="s">
        <v>35</v>
      </c>
      <c r="G80" s="96"/>
      <c r="H80" s="96"/>
      <c r="I80" s="116"/>
      <c r="J80" s="161"/>
      <c r="K80" s="93"/>
      <c r="M80" s="94"/>
      <c r="N80" s="301" t="str">
        <f t="shared" si="11"/>
        <v>-</v>
      </c>
    </row>
    <row r="81" spans="3:14">
      <c r="C81" s="95"/>
      <c r="D81" s="96">
        <f>+MAX($D$14:D80)+1</f>
        <v>63</v>
      </c>
      <c r="E81" s="97" t="str">
        <f>'Internal - DD Request List'!E12</f>
        <v>ALTA Survey</v>
      </c>
      <c r="F81" s="96" t="s">
        <v>35</v>
      </c>
      <c r="G81" s="96" t="s">
        <v>81</v>
      </c>
      <c r="H81" s="96"/>
      <c r="I81" s="116">
        <f>+G7</f>
        <v>46161</v>
      </c>
      <c r="J81" s="162" t="s">
        <v>128</v>
      </c>
      <c r="K81" s="93"/>
      <c r="M81" s="94"/>
      <c r="N81" s="301">
        <f t="shared" ca="1" si="11"/>
        <v>0</v>
      </c>
    </row>
    <row r="82" spans="3:14">
      <c r="C82" s="95"/>
      <c r="D82" s="96">
        <f>+MAX($D$14:D81)+1</f>
        <v>64</v>
      </c>
      <c r="E82" s="97" t="str">
        <f>'Internal - DD Request List'!E13</f>
        <v xml:space="preserve">Title Commitment </v>
      </c>
      <c r="F82" s="96" t="s">
        <v>27</v>
      </c>
      <c r="G82" s="96" t="s">
        <v>81</v>
      </c>
      <c r="H82" s="96"/>
      <c r="I82" s="116">
        <v>46188</v>
      </c>
      <c r="J82" s="162" t="s">
        <v>129</v>
      </c>
      <c r="K82" s="93"/>
      <c r="M82" s="94"/>
      <c r="N82" s="301" t="str">
        <f t="shared" ref="N82:N114" si="12">IF(OR($F82="Closed",ISBLANK(I82)),"-",IFERROR(MAX(I82-$N$12,0),"-"))</f>
        <v>-</v>
      </c>
    </row>
    <row r="83" spans="3:14" ht="30">
      <c r="C83" s="95"/>
      <c r="D83" s="96">
        <f>+MAX($D$14:D82)+1</f>
        <v>65</v>
      </c>
      <c r="E83" s="97" t="s">
        <v>130</v>
      </c>
      <c r="F83" s="96" t="s">
        <v>35</v>
      </c>
      <c r="G83" s="96" t="s">
        <v>81</v>
      </c>
      <c r="H83" s="96"/>
      <c r="I83" s="116">
        <v>46266</v>
      </c>
      <c r="J83" s="162" t="s">
        <v>131</v>
      </c>
      <c r="K83" s="93"/>
      <c r="M83" s="94"/>
      <c r="N83" s="301"/>
    </row>
    <row r="84" spans="3:14" ht="40.15" hidden="1" customHeight="1" outlineLevel="1">
      <c r="C84" s="95"/>
      <c r="D84" s="96">
        <f>+MAX($D$14:D83)+1</f>
        <v>66</v>
      </c>
      <c r="E84" s="245" t="s">
        <v>132</v>
      </c>
      <c r="F84" s="241" t="s">
        <v>27</v>
      </c>
      <c r="G84" s="241" t="s">
        <v>81</v>
      </c>
      <c r="H84" s="241"/>
      <c r="I84" s="243">
        <v>46096</v>
      </c>
      <c r="J84" s="246" t="s">
        <v>133</v>
      </c>
      <c r="K84" s="93"/>
      <c r="M84" s="94"/>
      <c r="N84" s="301" t="str">
        <f t="shared" si="12"/>
        <v>-</v>
      </c>
    </row>
    <row r="85" spans="3:14" ht="14.45" hidden="1" outlineLevel="1">
      <c r="C85" s="95"/>
      <c r="D85" s="96">
        <f>+MAX($D$14:D84)+1</f>
        <v>67</v>
      </c>
      <c r="E85" s="245" t="str">
        <f>'Internal - DD Request List'!E15</f>
        <v>All City/State permits</v>
      </c>
      <c r="F85" s="241" t="s">
        <v>27</v>
      </c>
      <c r="G85" s="241" t="s">
        <v>81</v>
      </c>
      <c r="H85" s="241"/>
      <c r="I85" s="243">
        <v>46096</v>
      </c>
      <c r="J85" s="244" t="str">
        <f>'Internal - DD Request List'!K15</f>
        <v>Seller: N/A</v>
      </c>
      <c r="K85" s="93"/>
      <c r="M85" s="94"/>
      <c r="N85" s="301" t="str">
        <f t="shared" si="12"/>
        <v>-</v>
      </c>
    </row>
    <row r="86" spans="3:14" ht="14.45" hidden="1" outlineLevel="1">
      <c r="C86" s="95"/>
      <c r="D86" s="96">
        <f>+MAX($D$14:D85)+1</f>
        <v>68</v>
      </c>
      <c r="E86" s="245" t="str">
        <f>'Internal - DD Request List'!E16</f>
        <v>Easement Documents (if applicable)</v>
      </c>
      <c r="F86" s="241" t="s">
        <v>27</v>
      </c>
      <c r="G86" s="241" t="s">
        <v>81</v>
      </c>
      <c r="H86" s="241"/>
      <c r="I86" s="243">
        <v>46096</v>
      </c>
      <c r="J86" s="244" t="str">
        <f>'Internal - DD Request List'!K16</f>
        <v>Seller: N/A</v>
      </c>
      <c r="K86" s="93"/>
      <c r="M86" s="94"/>
      <c r="N86" s="301" t="str">
        <f t="shared" si="12"/>
        <v>-</v>
      </c>
    </row>
    <row r="87" spans="3:14" ht="28.9" hidden="1" outlineLevel="1">
      <c r="C87" s="95"/>
      <c r="D87" s="96">
        <f>+MAX($D$14:D86)+1</f>
        <v>69</v>
      </c>
      <c r="E87" s="245" t="str">
        <f>'Internal - DD Request List'!E17</f>
        <v>Confirm FEMA Flood Vulnerable Status</v>
      </c>
      <c r="F87" s="241" t="s">
        <v>27</v>
      </c>
      <c r="G87" s="241" t="s">
        <v>81</v>
      </c>
      <c r="H87" s="241"/>
      <c r="I87" s="243">
        <v>46096</v>
      </c>
      <c r="J87" s="244" t="s">
        <v>134</v>
      </c>
      <c r="K87" s="93"/>
      <c r="M87" s="94"/>
      <c r="N87" s="301" t="str">
        <f t="shared" si="12"/>
        <v>-</v>
      </c>
    </row>
    <row r="88" spans="3:14" ht="14.45" hidden="1" outlineLevel="1">
      <c r="C88" s="95"/>
      <c r="D88" s="96">
        <f>+MAX($D$14:D87)+1</f>
        <v>70</v>
      </c>
      <c r="E88" s="245" t="str">
        <f>'Internal - DD Request List'!E18</f>
        <v>Permits Required for Property Operation (e.g. flammable fuel storage)</v>
      </c>
      <c r="F88" s="241" t="s">
        <v>27</v>
      </c>
      <c r="G88" s="241" t="s">
        <v>81</v>
      </c>
      <c r="H88" s="241"/>
      <c r="I88" s="243">
        <v>46096</v>
      </c>
      <c r="J88" s="244" t="str">
        <f>'Internal - DD Request List'!K18</f>
        <v>Seller: N/A</v>
      </c>
      <c r="K88" s="93"/>
      <c r="M88" s="94"/>
      <c r="N88" s="301" t="str">
        <f t="shared" si="12"/>
        <v>-</v>
      </c>
    </row>
    <row r="89" spans="3:14" ht="14.45" hidden="1" outlineLevel="1">
      <c r="C89" s="95"/>
      <c r="D89" s="96">
        <f>+MAX($D$14:D88)+1</f>
        <v>71</v>
      </c>
      <c r="E89" s="110" t="str">
        <f>'Internal - DD Request List'!E19</f>
        <v>Environmental Information review</v>
      </c>
      <c r="F89" s="96" t="s">
        <v>27</v>
      </c>
      <c r="G89" s="96"/>
      <c r="H89" s="96"/>
      <c r="I89" s="116"/>
      <c r="J89" s="162"/>
      <c r="K89" s="93"/>
      <c r="M89" s="94"/>
      <c r="N89" s="301" t="str">
        <f t="shared" si="12"/>
        <v>-</v>
      </c>
    </row>
    <row r="90" spans="3:14" ht="14.45" hidden="1" outlineLevel="1">
      <c r="C90" s="95"/>
      <c r="D90" s="96">
        <f>+MAX($D$14:D89)+1</f>
        <v>72</v>
      </c>
      <c r="E90" s="109" t="str">
        <f>'Internal - DD Request List'!E20</f>
        <v>Phase 1 ESA</v>
      </c>
      <c r="F90" s="96" t="s">
        <v>27</v>
      </c>
      <c r="G90" s="96" t="s">
        <v>81</v>
      </c>
      <c r="H90" s="96"/>
      <c r="I90" s="116">
        <v>46096</v>
      </c>
      <c r="J90" s="235" t="s">
        <v>135</v>
      </c>
      <c r="K90" s="93"/>
      <c r="M90" s="94"/>
      <c r="N90" s="301" t="str">
        <f t="shared" si="12"/>
        <v>-</v>
      </c>
    </row>
    <row r="91" spans="3:14" ht="14.45" hidden="1" outlineLevel="1">
      <c r="C91" s="95"/>
      <c r="D91" s="96">
        <f>+MAX($D$14:D90)+1</f>
        <v>73</v>
      </c>
      <c r="E91" s="245" t="str">
        <f>'Internal - DD Request List'!E21</f>
        <v>Hazardous Materials report</v>
      </c>
      <c r="F91" s="241" t="s">
        <v>27</v>
      </c>
      <c r="G91" s="241" t="s">
        <v>81</v>
      </c>
      <c r="H91" s="241"/>
      <c r="I91" s="243">
        <v>46096</v>
      </c>
      <c r="J91" s="246" t="str">
        <f>'Internal - DD Request List'!K21</f>
        <v>Seller: N/A</v>
      </c>
      <c r="K91" s="93"/>
      <c r="M91" s="94"/>
      <c r="N91" s="301" t="str">
        <f t="shared" si="12"/>
        <v>-</v>
      </c>
    </row>
    <row r="92" spans="3:14" ht="14.45" hidden="1" outlineLevel="1">
      <c r="C92" s="95"/>
      <c r="D92" s="96">
        <f>+MAX($D$14:D91)+1</f>
        <v>74</v>
      </c>
      <c r="E92" s="245" t="str">
        <f>'Internal - DD Request List'!E22</f>
        <v>Geotechnical soils report</v>
      </c>
      <c r="F92" s="241" t="s">
        <v>27</v>
      </c>
      <c r="G92" s="241" t="s">
        <v>81</v>
      </c>
      <c r="H92" s="241"/>
      <c r="I92" s="243">
        <v>46096</v>
      </c>
      <c r="J92" s="246" t="str">
        <f>'Internal - DD Request List'!K22</f>
        <v>Seller: N/A</v>
      </c>
      <c r="K92" s="93"/>
      <c r="M92" s="94"/>
      <c r="N92" s="301" t="str">
        <f t="shared" si="12"/>
        <v>-</v>
      </c>
    </row>
    <row r="93" spans="3:14" ht="14.45" hidden="1" outlineLevel="1">
      <c r="C93" s="95"/>
      <c r="D93" s="96">
        <f>+MAX($D$14:D92)+1</f>
        <v>75</v>
      </c>
      <c r="E93" s="109" t="str">
        <f>'Internal - DD Request List'!E23</f>
        <v>Lead abatement/compliance report</v>
      </c>
      <c r="F93" s="96" t="s">
        <v>27</v>
      </c>
      <c r="G93" s="96" t="s">
        <v>81</v>
      </c>
      <c r="H93" s="96"/>
      <c r="I93" s="116">
        <v>46096</v>
      </c>
      <c r="J93" s="162" t="str">
        <f>'Internal - DD Request List'!K23</f>
        <v>Letter of Full Deleading Compliance, 11/17/1998</v>
      </c>
      <c r="K93" s="93"/>
      <c r="M93" s="94"/>
      <c r="N93" s="301" t="str">
        <f t="shared" si="12"/>
        <v>-</v>
      </c>
    </row>
    <row r="94" spans="3:14" ht="14.45" hidden="1" outlineLevel="1">
      <c r="C94" s="95"/>
      <c r="D94" s="96">
        <f>+MAX($D$14:D93)+1</f>
        <v>76</v>
      </c>
      <c r="E94" s="245" t="str">
        <f>'Internal - DD Request List'!E24</f>
        <v>Mold reports/remediation</v>
      </c>
      <c r="F94" s="241" t="s">
        <v>27</v>
      </c>
      <c r="G94" s="241" t="s">
        <v>81</v>
      </c>
      <c r="H94" s="241"/>
      <c r="I94" s="243">
        <v>46096</v>
      </c>
      <c r="J94" s="246" t="str">
        <f>'Internal - DD Request List'!K24</f>
        <v>Seller: N/A</v>
      </c>
      <c r="K94" s="93"/>
      <c r="M94" s="94"/>
      <c r="N94" s="301" t="str">
        <f t="shared" si="12"/>
        <v>-</v>
      </c>
    </row>
    <row r="95" spans="3:14" ht="14.45" hidden="1" outlineLevel="1">
      <c r="C95" s="95"/>
      <c r="D95" s="96">
        <f>+MAX($D$14:D94)+1</f>
        <v>77</v>
      </c>
      <c r="E95" s="245" t="str">
        <f>'Internal - DD Request List'!E25</f>
        <v>Indoor air quality reports</v>
      </c>
      <c r="F95" s="241" t="s">
        <v>27</v>
      </c>
      <c r="G95" s="241" t="s">
        <v>81</v>
      </c>
      <c r="H95" s="241"/>
      <c r="I95" s="243">
        <v>46096</v>
      </c>
      <c r="J95" s="246" t="str">
        <f>'Internal - DD Request List'!K25</f>
        <v>Seller: N/A</v>
      </c>
      <c r="K95" s="93"/>
      <c r="M95" s="94"/>
      <c r="N95" s="301" t="str">
        <f t="shared" si="12"/>
        <v>-</v>
      </c>
    </row>
    <row r="96" spans="3:14" ht="14.45" hidden="1" outlineLevel="1">
      <c r="C96" s="95"/>
      <c r="D96" s="96">
        <f>+MAX($D$14:D95)+1</f>
        <v>78</v>
      </c>
      <c r="E96" s="245" t="str">
        <f>'Internal - DD Request List'!E26</f>
        <v>Water intrusion/moisture issues</v>
      </c>
      <c r="F96" s="241" t="s">
        <v>27</v>
      </c>
      <c r="G96" s="241" t="s">
        <v>81</v>
      </c>
      <c r="H96" s="241"/>
      <c r="I96" s="243">
        <v>46096</v>
      </c>
      <c r="J96" s="246" t="str">
        <f>'Internal - DD Request List'!K26</f>
        <v>Seller: N/A</v>
      </c>
      <c r="K96" s="93"/>
      <c r="M96" s="94"/>
      <c r="N96" s="301" t="str">
        <f t="shared" si="12"/>
        <v>-</v>
      </c>
    </row>
    <row r="97" spans="3:14" ht="14.45" hidden="1" outlineLevel="1">
      <c r="C97" s="95"/>
      <c r="D97" s="96">
        <f>+MAX($D$14:D96)+1</f>
        <v>79</v>
      </c>
      <c r="E97" s="110" t="str">
        <f>'Internal - DD Request List'!E29</f>
        <v>Request Drawings + confirm building Specs</v>
      </c>
      <c r="F97" s="241" t="s">
        <v>27</v>
      </c>
      <c r="G97" s="241" t="s">
        <v>81</v>
      </c>
      <c r="H97" s="96"/>
      <c r="I97" s="116"/>
      <c r="J97" s="162"/>
      <c r="K97" s="93"/>
      <c r="M97" s="94"/>
      <c r="N97" s="301" t="str">
        <f t="shared" si="12"/>
        <v>-</v>
      </c>
    </row>
    <row r="98" spans="3:14" ht="14.45" hidden="1" outlineLevel="1">
      <c r="C98" s="95"/>
      <c r="D98" s="96">
        <f>+MAX($D$14:D97)+1</f>
        <v>80</v>
      </c>
      <c r="E98" s="245" t="str">
        <f>'Internal - DD Request List'!E30</f>
        <v>Site Plans/Building Plans / Construction Plans / As-Builts</v>
      </c>
      <c r="F98" s="241" t="s">
        <v>27</v>
      </c>
      <c r="G98" s="241" t="s">
        <v>81</v>
      </c>
      <c r="H98" s="241"/>
      <c r="I98" s="243">
        <v>46096</v>
      </c>
      <c r="J98" s="246" t="str">
        <f>'Internal - DD Request List'!K30</f>
        <v>Seller: N/A</v>
      </c>
      <c r="K98" s="93"/>
      <c r="M98" s="94"/>
      <c r="N98" s="301" t="str">
        <f t="shared" si="12"/>
        <v>-</v>
      </c>
    </row>
    <row r="99" spans="3:14" ht="14.45" hidden="1" outlineLevel="1">
      <c r="C99" s="95"/>
      <c r="D99" s="96">
        <f>+MAX($D$14:D98)+1</f>
        <v>81</v>
      </c>
      <c r="E99" s="245" t="str">
        <f>'Internal - DD Request List'!E31</f>
        <v>Building Permits</v>
      </c>
      <c r="F99" s="241" t="s">
        <v>27</v>
      </c>
      <c r="G99" s="241" t="s">
        <v>81</v>
      </c>
      <c r="H99" s="241"/>
      <c r="I99" s="243">
        <v>46096</v>
      </c>
      <c r="J99" s="246" t="str">
        <f>'Internal - DD Request List'!K31</f>
        <v>Seller: N/A</v>
      </c>
      <c r="K99" s="93"/>
      <c r="M99" s="94"/>
      <c r="N99" s="301" t="str">
        <f t="shared" si="12"/>
        <v>-</v>
      </c>
    </row>
    <row r="100" spans="3:14" ht="43.15" hidden="1" outlineLevel="1" collapsed="1">
      <c r="C100" s="95"/>
      <c r="D100" s="96">
        <f>+MAX($D$14:D99)+1</f>
        <v>82</v>
      </c>
      <c r="E100" s="97" t="str">
        <f>'Internal - DD Request List'!E32</f>
        <v>Certificates of Occupancy</v>
      </c>
      <c r="F100" s="96" t="s">
        <v>27</v>
      </c>
      <c r="G100" s="96" t="s">
        <v>81</v>
      </c>
      <c r="H100" s="96"/>
      <c r="I100" s="116">
        <v>46096</v>
      </c>
      <c r="J100" s="162" t="str">
        <f>'Internal - DD Request List'!K32</f>
        <v>Received all but one. 63 Lambert does not exist.  See Zoning Cert from Title Company's attorney. CC to decide whether to clean up post-closing</v>
      </c>
      <c r="K100" s="93"/>
      <c r="M100" s="94"/>
      <c r="N100" s="301" t="str">
        <f t="shared" si="12"/>
        <v>-</v>
      </c>
    </row>
    <row r="101" spans="3:14" ht="14.45" hidden="1" outlineLevel="1">
      <c r="C101" s="95"/>
      <c r="D101" s="96">
        <f>+MAX($D$14:D100)+1</f>
        <v>83</v>
      </c>
      <c r="E101" s="245" t="str">
        <f>'Internal - DD Request List'!E33</f>
        <v>Building areas - Building GSF, Unit RSF's</v>
      </c>
      <c r="F101" s="241" t="s">
        <v>27</v>
      </c>
      <c r="G101" s="241" t="s">
        <v>81</v>
      </c>
      <c r="H101" s="241"/>
      <c r="I101" s="243">
        <v>46096</v>
      </c>
      <c r="J101" s="246" t="str">
        <f>'Internal - DD Request List'!K33</f>
        <v>Seller: N/A</v>
      </c>
      <c r="K101" s="93"/>
      <c r="M101" s="94"/>
      <c r="N101" s="301" t="str">
        <f t="shared" si="12"/>
        <v>-</v>
      </c>
    </row>
    <row r="102" spans="3:14" ht="14.45" hidden="1" outlineLevel="1">
      <c r="C102" s="95"/>
      <c r="D102" s="96">
        <f>+MAX($D$14:D101)+1</f>
        <v>84</v>
      </c>
      <c r="E102" s="245" t="str">
        <f>'Internal - DD Request List'!E35</f>
        <v>REAC reports and scores from prior 3 years</v>
      </c>
      <c r="F102" s="241" t="s">
        <v>27</v>
      </c>
      <c r="G102" s="241" t="s">
        <v>136</v>
      </c>
      <c r="H102" s="241"/>
      <c r="I102" s="243">
        <v>46096</v>
      </c>
      <c r="J102" s="246" t="str">
        <f>'Internal - DD Request List'!K35</f>
        <v>Rec'd 2025, Seller: Only one score from past 5 years</v>
      </c>
      <c r="K102" s="93"/>
      <c r="M102" s="94"/>
      <c r="N102" s="301" t="str">
        <f t="shared" si="12"/>
        <v>-</v>
      </c>
    </row>
    <row r="103" spans="3:14" ht="14.45" hidden="1" outlineLevel="1" collapsed="1">
      <c r="C103" s="95"/>
      <c r="D103" s="96">
        <f>+MAX($D$14:D102)+1</f>
        <v>85</v>
      </c>
      <c r="E103" s="109" t="str">
        <f>'Internal - DD Request List'!E36</f>
        <v>Capital Needs Assessment</v>
      </c>
      <c r="F103" s="96" t="s">
        <v>27</v>
      </c>
      <c r="G103" s="96" t="s">
        <v>81</v>
      </c>
      <c r="H103" s="96" t="s">
        <v>137</v>
      </c>
      <c r="I103" s="116"/>
      <c r="J103" s="162" t="s">
        <v>138</v>
      </c>
      <c r="K103" s="93"/>
      <c r="M103" s="94"/>
      <c r="N103" s="301" t="str">
        <f t="shared" si="12"/>
        <v>-</v>
      </c>
    </row>
    <row r="104" spans="3:14" ht="14.45" hidden="1" outlineLevel="1">
      <c r="C104" s="95"/>
      <c r="D104" s="96">
        <f>+MAX($D$14:D103)+1</f>
        <v>86</v>
      </c>
      <c r="E104" s="245" t="str">
        <f>'Internal - DD Request List'!E37</f>
        <v>Keith Construction budget</v>
      </c>
      <c r="F104" s="241" t="s">
        <v>27</v>
      </c>
      <c r="G104" s="241" t="s">
        <v>81</v>
      </c>
      <c r="H104" s="241"/>
      <c r="I104" s="243">
        <v>46096</v>
      </c>
      <c r="J104" s="246"/>
      <c r="K104" s="93"/>
      <c r="M104" s="94"/>
      <c r="N104" s="301" t="str">
        <f t="shared" si="12"/>
        <v>-</v>
      </c>
    </row>
    <row r="105" spans="3:14" ht="14.45" hidden="1" outlineLevel="1">
      <c r="C105" s="95"/>
      <c r="D105" s="96">
        <f>+MAX($D$14:D104)+1</f>
        <v>87</v>
      </c>
      <c r="E105" s="98" t="s">
        <v>139</v>
      </c>
      <c r="F105" s="96" t="s">
        <v>27</v>
      </c>
      <c r="G105" s="96" t="s">
        <v>81</v>
      </c>
      <c r="H105" s="96"/>
      <c r="I105" s="116"/>
      <c r="J105" s="162" t="s">
        <v>140</v>
      </c>
      <c r="K105" s="93"/>
      <c r="M105" s="94"/>
      <c r="N105" s="301" t="str">
        <f t="shared" si="12"/>
        <v>-</v>
      </c>
    </row>
    <row r="106" spans="3:14" ht="14.45" hidden="1" outlineLevel="1">
      <c r="C106" s="95"/>
      <c r="D106" s="96">
        <f>+MAX($D$14:D105)+1</f>
        <v>88</v>
      </c>
      <c r="E106" s="98" t="s">
        <v>141</v>
      </c>
      <c r="F106" s="96" t="s">
        <v>27</v>
      </c>
      <c r="G106" s="96" t="s">
        <v>81</v>
      </c>
      <c r="H106" s="96"/>
      <c r="I106" s="116"/>
      <c r="J106" s="162"/>
      <c r="K106" s="93"/>
      <c r="M106" s="94"/>
      <c r="N106" s="301" t="str">
        <f t="shared" si="12"/>
        <v>-</v>
      </c>
    </row>
    <row r="107" spans="3:14" ht="14.45" hidden="1" outlineLevel="1">
      <c r="C107" s="88"/>
      <c r="D107" s="89" t="s">
        <v>142</v>
      </c>
      <c r="E107" s="165"/>
      <c r="F107" s="90"/>
      <c r="G107" s="90"/>
      <c r="H107" s="90"/>
      <c r="I107" s="90"/>
      <c r="J107" s="237"/>
      <c r="K107" s="92"/>
      <c r="M107" s="87"/>
      <c r="N107" s="301" t="str">
        <f t="shared" si="12"/>
        <v>-</v>
      </c>
    </row>
    <row r="108" spans="3:14" ht="28.9" hidden="1" outlineLevel="1">
      <c r="C108" s="96"/>
      <c r="D108" s="99">
        <f>+MAX($D$14:D107)+1</f>
        <v>89</v>
      </c>
      <c r="E108" s="240" t="str">
        <f>'Internal - DD Request List'!E7</f>
        <v>Review Residential Leases &amp; House Rules</v>
      </c>
      <c r="F108" s="241" t="s">
        <v>27</v>
      </c>
      <c r="G108" s="241" t="s">
        <v>27</v>
      </c>
      <c r="H108" s="242"/>
      <c r="I108" s="243">
        <v>46096</v>
      </c>
      <c r="J108" s="244" t="str">
        <f>'Internal - DD Request List'!K7</f>
        <v>Rec'd House Rules, Form Lease, need all leases, LEASES ON SITE NEED TO REVIEW</v>
      </c>
      <c r="K108" s="101"/>
      <c r="M108" s="102"/>
      <c r="N108" s="301" t="str">
        <f t="shared" si="12"/>
        <v>-</v>
      </c>
    </row>
    <row r="109" spans="3:14" ht="14.45" hidden="1" outlineLevel="1">
      <c r="C109" s="96"/>
      <c r="D109" s="99">
        <f>+MAX($D$14:D108)+1</f>
        <v>90</v>
      </c>
      <c r="E109" s="240" t="str">
        <f>'Internal - DD Request List'!E8</f>
        <v>Review License Agreements (if applicable)</v>
      </c>
      <c r="F109" s="241" t="s">
        <v>27</v>
      </c>
      <c r="G109" s="241" t="s">
        <v>81</v>
      </c>
      <c r="H109" s="242"/>
      <c r="I109" s="243">
        <v>46096</v>
      </c>
      <c r="J109" s="244" t="str">
        <f>'Internal - DD Request List'!K8</f>
        <v>Seller: N/A</v>
      </c>
      <c r="K109" s="101"/>
      <c r="M109" s="102"/>
      <c r="N109" s="301" t="str">
        <f t="shared" si="12"/>
        <v>-</v>
      </c>
    </row>
    <row r="110" spans="3:14" ht="14.45" hidden="1" outlineLevel="1">
      <c r="C110" s="96"/>
      <c r="D110" s="99">
        <f>+MAX($D$14:D109)+1</f>
        <v>91</v>
      </c>
      <c r="E110" s="240" t="str">
        <f>'Internal - DD Request List'!E9</f>
        <v>Review Indemnities (if applicable)</v>
      </c>
      <c r="F110" s="241" t="s">
        <v>27</v>
      </c>
      <c r="G110" s="241" t="s">
        <v>81</v>
      </c>
      <c r="H110" s="242"/>
      <c r="I110" s="243">
        <v>46096</v>
      </c>
      <c r="J110" s="244" t="str">
        <f>'Internal - DD Request List'!K9</f>
        <v>Seller: N/A</v>
      </c>
      <c r="K110" s="101"/>
      <c r="M110" s="102"/>
      <c r="N110" s="301" t="str">
        <f t="shared" si="12"/>
        <v>-</v>
      </c>
    </row>
    <row r="111" spans="3:14" ht="43.15" hidden="1" customHeight="1" outlineLevel="1" collapsed="1">
      <c r="C111" s="96"/>
      <c r="D111" s="99">
        <f>+MAX($D$14:D110)+1</f>
        <v>92</v>
      </c>
      <c r="E111" s="164" t="str">
        <f>'Internal - DD Request List'!E39</f>
        <v>Schedule calls with UHM to review (DD materials, budget). Walk property with onsite team</v>
      </c>
      <c r="F111" s="96" t="s">
        <v>27</v>
      </c>
      <c r="G111" s="96" t="s">
        <v>38</v>
      </c>
      <c r="H111" s="99"/>
      <c r="I111" s="116">
        <v>46129</v>
      </c>
      <c r="J111" s="235" t="s">
        <v>143</v>
      </c>
      <c r="K111" s="101"/>
      <c r="M111" s="102"/>
      <c r="N111" s="301" t="str">
        <f t="shared" si="12"/>
        <v>-</v>
      </c>
    </row>
    <row r="112" spans="3:14" ht="32.450000000000003" hidden="1" customHeight="1" outlineLevel="1">
      <c r="C112" s="96"/>
      <c r="D112" s="99">
        <f>+MAX($D$14:D111)+1</f>
        <v>93</v>
      </c>
      <c r="E112" s="108" t="str">
        <f>'Internal - DD Request List'!E40</f>
        <v>2026 Operating Budget</v>
      </c>
      <c r="F112" s="96" t="s">
        <v>27</v>
      </c>
      <c r="G112" s="96" t="s">
        <v>144</v>
      </c>
      <c r="H112" s="99"/>
      <c r="I112" s="116">
        <v>46126</v>
      </c>
      <c r="J112" s="235"/>
      <c r="K112" s="101"/>
      <c r="M112" s="102"/>
      <c r="N112" s="301" t="str">
        <f t="shared" si="12"/>
        <v>-</v>
      </c>
    </row>
    <row r="113" spans="3:14" ht="14.45" hidden="1" outlineLevel="1">
      <c r="C113" s="96"/>
      <c r="D113" s="99">
        <f>+MAX($D$14:D112)+1</f>
        <v>94</v>
      </c>
      <c r="E113" s="108" t="str">
        <f>'Internal - DD Request List'!E41</f>
        <v>Management &amp; Occupancy Review past 3 years</v>
      </c>
      <c r="F113" s="96" t="s">
        <v>27</v>
      </c>
      <c r="G113" s="96" t="s">
        <v>136</v>
      </c>
      <c r="H113" s="99" t="s">
        <v>51</v>
      </c>
      <c r="I113" s="116">
        <v>46096</v>
      </c>
      <c r="J113" s="235" t="s">
        <v>145</v>
      </c>
      <c r="K113" s="101"/>
      <c r="M113" s="102"/>
      <c r="N113" s="301" t="str">
        <f t="shared" si="12"/>
        <v>-</v>
      </c>
    </row>
    <row r="114" spans="3:14" ht="14.45" hidden="1" outlineLevel="1">
      <c r="C114" s="96"/>
      <c r="D114" s="99">
        <f>+MAX($D$14:D113)+1</f>
        <v>95</v>
      </c>
      <c r="E114" s="240" t="str">
        <f>'Internal - DD Request List'!E42</f>
        <v>Personal Property Inventory</v>
      </c>
      <c r="F114" s="241" t="s">
        <v>27</v>
      </c>
      <c r="G114" s="241" t="s">
        <v>81</v>
      </c>
      <c r="H114" s="242"/>
      <c r="I114" s="243">
        <v>46096</v>
      </c>
      <c r="J114" s="244" t="str">
        <f>'Internal - DD Request List'!K42</f>
        <v>Seller: N/A</v>
      </c>
      <c r="K114" s="101"/>
      <c r="M114" s="102"/>
      <c r="N114" s="301" t="str">
        <f t="shared" si="12"/>
        <v>-</v>
      </c>
    </row>
    <row r="115" spans="3:14" ht="14.45" hidden="1" outlineLevel="1">
      <c r="C115" s="96"/>
      <c r="D115" s="99">
        <f>+MAX($D$14:D114)+1</f>
        <v>96</v>
      </c>
      <c r="E115" s="240" t="str">
        <f>'Internal - DD Request List'!E43</f>
        <v>Photographs</v>
      </c>
      <c r="F115" s="241" t="s">
        <v>27</v>
      </c>
      <c r="G115" s="241" t="s">
        <v>81</v>
      </c>
      <c r="H115" s="242"/>
      <c r="I115" s="243">
        <v>46096</v>
      </c>
      <c r="J115" s="244"/>
      <c r="K115" s="101"/>
      <c r="M115" s="102"/>
      <c r="N115" s="301" t="str">
        <f t="shared" ref="N115:N144" si="13">IF(OR($F115="Closed",ISBLANK(I115)),"-",IFERROR(MAX(I115-$N$12,0),"-"))</f>
        <v>-</v>
      </c>
    </row>
    <row r="116" spans="3:14" ht="14.45" hidden="1" outlineLevel="1">
      <c r="C116" s="95"/>
      <c r="D116" s="99">
        <f>+MAX($D$14:D115)+1</f>
        <v>97</v>
      </c>
      <c r="E116" s="110" t="str">
        <f>'Internal - DD Request List'!E65</f>
        <v>Review UHM's in-place management process</v>
      </c>
      <c r="F116" s="96" t="s">
        <v>27</v>
      </c>
      <c r="G116" s="96"/>
      <c r="H116" s="96"/>
      <c r="I116" s="116">
        <v>46096</v>
      </c>
      <c r="J116" s="162"/>
      <c r="K116" s="93"/>
      <c r="M116" s="94"/>
      <c r="N116" s="301" t="str">
        <f t="shared" si="13"/>
        <v>-</v>
      </c>
    </row>
    <row r="117" spans="3:14" ht="28.9" hidden="1" outlineLevel="1">
      <c r="C117" s="95"/>
      <c r="D117" s="99">
        <f>+MAX($D$14:D116)+1</f>
        <v>98</v>
      </c>
      <c r="E117" s="108" t="str">
        <f>'Internal - DD Request List'!E66</f>
        <v>Sample 50059 files including one current resident with recertification and one former tenant</v>
      </c>
      <c r="F117" s="96" t="s">
        <v>27</v>
      </c>
      <c r="G117" s="96" t="s">
        <v>81</v>
      </c>
      <c r="H117" s="96"/>
      <c r="I117" s="116">
        <v>46096</v>
      </c>
      <c r="J117" s="238"/>
      <c r="K117" s="93"/>
      <c r="M117" s="94"/>
      <c r="N117" s="301" t="str">
        <f t="shared" si="13"/>
        <v>-</v>
      </c>
    </row>
    <row r="118" spans="3:14" ht="28.9" hidden="1" outlineLevel="1">
      <c r="C118" s="95"/>
      <c r="D118" s="99">
        <f>+MAX($D$14:D117)+1</f>
        <v>99</v>
      </c>
      <c r="E118" s="108" t="str">
        <f>'Internal - DD Request List'!E67</f>
        <v>Original HAP Contract</v>
      </c>
      <c r="F118" s="96" t="s">
        <v>27</v>
      </c>
      <c r="G118" s="96" t="s">
        <v>136</v>
      </c>
      <c r="H118" s="96" t="s">
        <v>59</v>
      </c>
      <c r="I118" s="116">
        <v>46096</v>
      </c>
      <c r="J118" s="238" t="s">
        <v>146</v>
      </c>
      <c r="K118" s="93"/>
      <c r="M118" s="94"/>
      <c r="N118" s="301" t="str">
        <f t="shared" si="13"/>
        <v>-</v>
      </c>
    </row>
    <row r="119" spans="3:14" ht="14.45" hidden="1" outlineLevel="1">
      <c r="C119" s="95"/>
      <c r="D119" s="99">
        <f>+MAX($D$14:D118)+1</f>
        <v>100</v>
      </c>
      <c r="E119" s="108" t="str">
        <f>'Internal - DD Request List'!E68</f>
        <v>HAP Billing Files (HUD 52670A) - YTD and prior year</v>
      </c>
      <c r="F119" s="96" t="s">
        <v>27</v>
      </c>
      <c r="G119" s="96" t="s">
        <v>81</v>
      </c>
      <c r="H119" s="96"/>
      <c r="I119" s="116">
        <v>46096</v>
      </c>
      <c r="J119" s="238"/>
      <c r="K119" s="93"/>
      <c r="M119" s="94"/>
      <c r="N119" s="301" t="str">
        <f t="shared" si="13"/>
        <v>-</v>
      </c>
    </row>
    <row r="120" spans="3:14" ht="14.45" hidden="1" outlineLevel="1">
      <c r="C120" s="95"/>
      <c r="D120" s="99">
        <f>+MAX($D$14:D119)+1</f>
        <v>101</v>
      </c>
      <c r="E120" s="108" t="str">
        <f>'Internal - DD Request List'!E69</f>
        <v>Tenant Selection Plan</v>
      </c>
      <c r="F120" s="96" t="s">
        <v>27</v>
      </c>
      <c r="G120" s="96" t="s">
        <v>81</v>
      </c>
      <c r="H120" s="96"/>
      <c r="I120" s="116">
        <v>46096</v>
      </c>
      <c r="J120" s="238"/>
      <c r="K120" s="93"/>
      <c r="M120" s="94"/>
      <c r="N120" s="301" t="str">
        <f t="shared" si="13"/>
        <v>-</v>
      </c>
    </row>
    <row r="121" spans="3:14" ht="28.9" hidden="1" outlineLevel="1">
      <c r="C121" s="95"/>
      <c r="D121" s="99">
        <f>+MAX($D$14:D120)+1</f>
        <v>102</v>
      </c>
      <c r="E121" s="108" t="str">
        <f>'Internal - DD Request List'!E70</f>
        <v>Affirmative Fair Housing Marketing Plan</v>
      </c>
      <c r="F121" s="96" t="s">
        <v>27</v>
      </c>
      <c r="G121" s="96" t="s">
        <v>81</v>
      </c>
      <c r="H121" s="96" t="s">
        <v>51</v>
      </c>
      <c r="I121" s="116">
        <v>46096</v>
      </c>
      <c r="J121" s="238" t="str">
        <f>'Internal - DD Request List'!K70</f>
        <v>Document says existing plan expired 1/31/2021. Latest plan per UHM</v>
      </c>
      <c r="K121" s="93"/>
      <c r="M121" s="94"/>
      <c r="N121" s="301" t="str">
        <f t="shared" si="13"/>
        <v>-</v>
      </c>
    </row>
    <row r="122" spans="3:14" ht="14.45" hidden="1" outlineLevel="1">
      <c r="C122" s="95"/>
      <c r="D122" s="99">
        <f>+MAX($D$14:D121)+1</f>
        <v>103</v>
      </c>
      <c r="E122" s="240" t="str">
        <f>'Internal - DD Request List'!E71</f>
        <v>Enterprise Income Verification (EIV) Master File</v>
      </c>
      <c r="F122" s="241" t="s">
        <v>27</v>
      </c>
      <c r="G122" s="241" t="s">
        <v>81</v>
      </c>
      <c r="H122" s="241"/>
      <c r="I122" s="243">
        <v>46096</v>
      </c>
      <c r="J122" s="247" t="str">
        <f>'Internal - DD Request List'!K71</f>
        <v>Requires HUD approval, need update from UHM</v>
      </c>
      <c r="K122" s="93"/>
      <c r="M122" s="94"/>
      <c r="N122" s="301" t="str">
        <f t="shared" si="13"/>
        <v>-</v>
      </c>
    </row>
    <row r="123" spans="3:14" ht="14.45" hidden="1" outlineLevel="1">
      <c r="C123" s="95"/>
      <c r="D123" s="99">
        <f>+MAX($D$14:D122)+1</f>
        <v>104</v>
      </c>
      <c r="E123" s="240" t="str">
        <f>'Internal - DD Request List'!E72</f>
        <v>Extended Use Agreement (if applicable)</v>
      </c>
      <c r="F123" s="241" t="s">
        <v>27</v>
      </c>
      <c r="G123" s="241" t="s">
        <v>81</v>
      </c>
      <c r="H123" s="241"/>
      <c r="I123" s="243">
        <v>46096</v>
      </c>
      <c r="J123" s="247" t="str">
        <f>'Internal - DD Request List'!K72</f>
        <v>Seller: N/A</v>
      </c>
      <c r="K123" s="93"/>
      <c r="M123" s="94"/>
      <c r="N123" s="301" t="str">
        <f t="shared" si="13"/>
        <v>-</v>
      </c>
    </row>
    <row r="124" spans="3:14" ht="14.45" hidden="1" outlineLevel="1">
      <c r="C124" s="95"/>
      <c r="D124" s="99">
        <f>+MAX($D$14:D123)+1</f>
        <v>105</v>
      </c>
      <c r="E124" s="108" t="str">
        <f>'Internal - DD Request List'!E73</f>
        <v>Current Waitlist</v>
      </c>
      <c r="F124" s="96" t="s">
        <v>27</v>
      </c>
      <c r="G124" s="96" t="s">
        <v>81</v>
      </c>
      <c r="H124" s="96"/>
      <c r="I124" s="116">
        <v>46096</v>
      </c>
      <c r="J124" s="238"/>
      <c r="K124" s="93"/>
      <c r="M124" s="94"/>
      <c r="N124" s="301" t="str">
        <f t="shared" si="13"/>
        <v>-</v>
      </c>
    </row>
    <row r="125" spans="3:14" ht="99" hidden="1" customHeight="1" outlineLevel="1">
      <c r="C125" s="95"/>
      <c r="D125" s="99">
        <f>+MAX($D$14:D124)+1</f>
        <v>106</v>
      </c>
      <c r="E125" s="108" t="str">
        <f>'Internal - DD Request List'!E74</f>
        <v>Recent Management and Occupancy Review (MOR) reports from last 3 years</v>
      </c>
      <c r="F125" s="96" t="s">
        <v>27</v>
      </c>
      <c r="G125" s="96" t="s">
        <v>81</v>
      </c>
      <c r="H125" s="96" t="s">
        <v>51</v>
      </c>
      <c r="I125" s="116">
        <v>46096</v>
      </c>
      <c r="J125" s="238" t="str">
        <f>'Internal - DD Request List'!K74</f>
        <v>Date of report is 8/18/25 but document says expiration 4/30/2018? Please confirm there were no other MORs completed under current ownership. And confirm the difference between this document and (29) MOR. This is a typo - these reports don't expire; The report in this folder should be with the other MOR reports</v>
      </c>
      <c r="K125" s="93"/>
      <c r="M125" s="94"/>
      <c r="N125" s="301" t="str">
        <f t="shared" si="13"/>
        <v>-</v>
      </c>
    </row>
    <row r="126" spans="3:14" ht="14.45" hidden="1" outlineLevel="1">
      <c r="C126" s="95"/>
      <c r="D126" s="99">
        <f>+MAX($D$14:D125)+1</f>
        <v>107</v>
      </c>
      <c r="E126" s="240" t="str">
        <f>'Internal - DD Request List'!E75</f>
        <v>Any non-compliance agency or audit findings from last 3 years</v>
      </c>
      <c r="F126" s="241" t="s">
        <v>27</v>
      </c>
      <c r="G126" s="241" t="s">
        <v>81</v>
      </c>
      <c r="H126" s="241"/>
      <c r="I126" s="243">
        <v>46096</v>
      </c>
      <c r="J126" s="247" t="str">
        <f>'Internal - DD Request List'!K75</f>
        <v>Seller: N/A</v>
      </c>
      <c r="K126" s="93"/>
      <c r="M126" s="94"/>
      <c r="N126" s="301" t="str">
        <f t="shared" si="13"/>
        <v>-</v>
      </c>
    </row>
    <row r="127" spans="3:14" ht="14.45" hidden="1" outlineLevel="1">
      <c r="C127" s="95"/>
      <c r="D127" s="96">
        <f>+MAX($D$14:D126)+1</f>
        <v>108</v>
      </c>
      <c r="E127" s="98" t="s">
        <v>147</v>
      </c>
      <c r="F127" s="96" t="s">
        <v>27</v>
      </c>
      <c r="G127" s="96" t="s">
        <v>81</v>
      </c>
      <c r="H127" s="96" t="s">
        <v>51</v>
      </c>
      <c r="I127" s="116"/>
      <c r="J127" s="162" t="s">
        <v>148</v>
      </c>
      <c r="K127" s="93"/>
      <c r="M127" s="94"/>
      <c r="N127" s="301" t="str">
        <f t="shared" si="13"/>
        <v>-</v>
      </c>
    </row>
    <row r="128" spans="3:14" ht="28.9" hidden="1" outlineLevel="1">
      <c r="C128" s="95"/>
      <c r="D128" s="96">
        <f>+MAX($D$14:D127)+1</f>
        <v>109</v>
      </c>
      <c r="E128" s="108" t="str">
        <f>'Internal - DD Request List'!E76</f>
        <v>Most recent RCS &amp; any relevant information provided; General update to progress of new RCS</v>
      </c>
      <c r="F128" s="96" t="s">
        <v>27</v>
      </c>
      <c r="G128" s="96" t="s">
        <v>38</v>
      </c>
      <c r="H128" s="96"/>
      <c r="I128" s="116">
        <v>46096</v>
      </c>
      <c r="J128" s="238" t="s">
        <v>149</v>
      </c>
      <c r="K128" s="93"/>
      <c r="M128" s="94"/>
      <c r="N128" s="301" t="str">
        <f t="shared" si="13"/>
        <v>-</v>
      </c>
    </row>
    <row r="129" spans="3:14" ht="28.9" hidden="1" outlineLevel="1" collapsed="1">
      <c r="C129" s="95"/>
      <c r="D129" s="96">
        <f>+MAX($D$14:D128)+1</f>
        <v>110</v>
      </c>
      <c r="E129" s="98" t="s">
        <v>150</v>
      </c>
      <c r="F129" s="96" t="s">
        <v>27</v>
      </c>
      <c r="G129" s="96" t="s">
        <v>144</v>
      </c>
      <c r="H129" s="96" t="s">
        <v>51</v>
      </c>
      <c r="I129" s="116">
        <v>46096</v>
      </c>
      <c r="J129" s="162"/>
      <c r="K129" s="93"/>
      <c r="M129" s="94"/>
      <c r="N129" s="301" t="str">
        <f t="shared" si="13"/>
        <v>-</v>
      </c>
    </row>
    <row r="130" spans="3:14" ht="14.45" hidden="1" outlineLevel="1">
      <c r="C130" s="95"/>
      <c r="D130" s="96">
        <f>+MAX($D$14:D129)+1</f>
        <v>111</v>
      </c>
      <c r="E130" s="98" t="s">
        <v>151</v>
      </c>
      <c r="F130" s="96" t="s">
        <v>27</v>
      </c>
      <c r="G130" s="96" t="s">
        <v>28</v>
      </c>
      <c r="H130" s="96"/>
      <c r="I130" s="116"/>
      <c r="J130" s="162"/>
      <c r="K130" s="93"/>
      <c r="M130" s="94"/>
      <c r="N130" s="301" t="str">
        <f t="shared" ref="N130" si="14">IF(OR($F130="Closed",ISBLANK(I130)),"-",IFERROR(MAX(I130-$N$12,0),"-"))</f>
        <v>-</v>
      </c>
    </row>
    <row r="131" spans="3:14" ht="14.45" hidden="1" outlineLevel="1">
      <c r="C131" s="95"/>
      <c r="D131" s="96">
        <f>+MAX($D$14:D130)+1</f>
        <v>112</v>
      </c>
      <c r="E131" s="98" t="s">
        <v>152</v>
      </c>
      <c r="F131" s="96" t="s">
        <v>27</v>
      </c>
      <c r="G131" s="96"/>
      <c r="H131" s="96" t="s">
        <v>51</v>
      </c>
      <c r="I131" s="116"/>
      <c r="J131" s="162" t="s">
        <v>153</v>
      </c>
      <c r="K131" s="93"/>
      <c r="M131" s="94"/>
      <c r="N131" s="301" t="str">
        <f t="shared" si="13"/>
        <v>-</v>
      </c>
    </row>
    <row r="132" spans="3:14" collapsed="1">
      <c r="C132" s="88"/>
      <c r="D132" s="89" t="s">
        <v>154</v>
      </c>
      <c r="E132" s="165"/>
      <c r="F132" s="90"/>
      <c r="G132" s="90"/>
      <c r="H132" s="90"/>
      <c r="I132" s="90"/>
      <c r="J132" s="237"/>
      <c r="K132" s="92"/>
      <c r="M132" s="87"/>
      <c r="N132" s="301" t="str">
        <f t="shared" si="13"/>
        <v>-</v>
      </c>
    </row>
    <row r="133" spans="3:14">
      <c r="C133" s="95"/>
      <c r="D133" s="96">
        <f>+MAX($D$14:D132)+1</f>
        <v>113</v>
      </c>
      <c r="E133" s="110" t="str">
        <f>'Internal - DD Request List'!E78</f>
        <v>Review of Property Tax, Legal, Insurance docs</v>
      </c>
      <c r="F133" s="96" t="s">
        <v>35</v>
      </c>
      <c r="G133" s="96"/>
      <c r="H133" s="96"/>
      <c r="I133" s="116"/>
      <c r="J133" s="162"/>
      <c r="K133" s="93"/>
      <c r="M133" s="94"/>
      <c r="N133" s="301" t="str">
        <f t="shared" si="13"/>
        <v>-</v>
      </c>
    </row>
    <row r="134" spans="3:14" ht="30">
      <c r="C134" s="95"/>
      <c r="D134" s="96">
        <f>+MAX($D$14:D133)+1</f>
        <v>114</v>
      </c>
      <c r="E134" s="109" t="str">
        <f>'Internal - DD Request List'!E79</f>
        <v>Insurance Policies/Summary Docs/Exclusions</v>
      </c>
      <c r="F134" s="96" t="s">
        <v>35</v>
      </c>
      <c r="G134" s="96" t="s">
        <v>44</v>
      </c>
      <c r="H134" s="96"/>
      <c r="I134" s="116">
        <f>+$G$7</f>
        <v>46161</v>
      </c>
      <c r="J134" s="162" t="str">
        <f>'Internal - DD Request List'!K79</f>
        <v>GNY GL, Excess Policy from GNY &amp; AXIS. Expires 10/2026, Travelers Property Insurance</v>
      </c>
      <c r="K134" s="93"/>
      <c r="M134" s="94"/>
      <c r="N134" s="301">
        <f t="shared" ca="1" si="13"/>
        <v>0</v>
      </c>
    </row>
    <row r="135" spans="3:14" ht="45">
      <c r="C135" s="95"/>
      <c r="D135" s="96">
        <f>+MAX($D$14:D134)+1</f>
        <v>115</v>
      </c>
      <c r="E135" s="98" t="s">
        <v>155</v>
      </c>
      <c r="F135" s="96" t="s">
        <v>35</v>
      </c>
      <c r="G135" s="96" t="s">
        <v>44</v>
      </c>
      <c r="H135" s="96"/>
      <c r="I135" s="116">
        <f t="shared" ref="I135:I160" si="15">+$G$7</f>
        <v>46161</v>
      </c>
      <c r="J135" s="162" t="s">
        <v>156</v>
      </c>
      <c r="K135" s="93"/>
      <c r="M135" s="94"/>
      <c r="N135" s="301">
        <f t="shared" ca="1" si="13"/>
        <v>0</v>
      </c>
    </row>
    <row r="136" spans="3:14">
      <c r="C136" s="95"/>
      <c r="D136" s="96">
        <f>+MAX($D$14:D135)+1</f>
        <v>116</v>
      </c>
      <c r="E136" s="280" t="s">
        <v>157</v>
      </c>
      <c r="F136" s="96" t="s">
        <v>27</v>
      </c>
      <c r="G136" s="96" t="s">
        <v>44</v>
      </c>
      <c r="H136" s="96"/>
      <c r="I136" s="116">
        <v>46206</v>
      </c>
      <c r="J136" s="162" t="s">
        <v>158</v>
      </c>
      <c r="K136" s="93"/>
      <c r="M136" s="94"/>
      <c r="N136" s="301" t="str">
        <f t="shared" si="13"/>
        <v>-</v>
      </c>
    </row>
    <row r="137" spans="3:14">
      <c r="C137" s="95"/>
      <c r="D137" s="96">
        <f>+MAX($D$14:D136)+1</f>
        <v>117</v>
      </c>
      <c r="E137" s="280" t="s">
        <v>159</v>
      </c>
      <c r="F137" s="96" t="s">
        <v>35</v>
      </c>
      <c r="G137" s="96" t="s">
        <v>44</v>
      </c>
      <c r="H137" s="96"/>
      <c r="I137" s="116">
        <f t="shared" si="15"/>
        <v>46161</v>
      </c>
      <c r="J137" s="162"/>
      <c r="K137" s="93"/>
      <c r="M137" s="94"/>
      <c r="N137" s="301">
        <f t="shared" ca="1" si="13"/>
        <v>0</v>
      </c>
    </row>
    <row r="138" spans="3:14">
      <c r="C138" s="95"/>
      <c r="D138" s="96">
        <f>+MAX($D$14:D137)+1</f>
        <v>118</v>
      </c>
      <c r="E138" s="109" t="str">
        <f>'Internal - DD Request List'!E80</f>
        <v>Summary of Litigation Pending or in Progress</v>
      </c>
      <c r="F138" s="96" t="s">
        <v>35</v>
      </c>
      <c r="G138" s="96" t="s">
        <v>44</v>
      </c>
      <c r="H138" s="96"/>
      <c r="I138" s="116">
        <f t="shared" si="15"/>
        <v>46161</v>
      </c>
      <c r="J138" s="162" t="str">
        <f>'Internal - DD Request List'!K80</f>
        <v>5 tenants pending litigation</v>
      </c>
      <c r="K138" s="93"/>
      <c r="M138" s="94"/>
      <c r="N138" s="301">
        <f t="shared" ca="1" si="13"/>
        <v>0</v>
      </c>
    </row>
    <row r="139" spans="3:14" ht="14.45" hidden="1" outlineLevel="1">
      <c r="C139" s="95"/>
      <c r="D139" s="96">
        <f>+MAX($D$14:D138)+1</f>
        <v>119</v>
      </c>
      <c r="E139" s="109" t="str">
        <f>'Internal - DD Request List'!E81</f>
        <v>Summary of Outstanding Insurance Claims</v>
      </c>
      <c r="F139" s="96" t="s">
        <v>27</v>
      </c>
      <c r="G139" s="96" t="s">
        <v>44</v>
      </c>
      <c r="H139" s="96"/>
      <c r="I139" s="116">
        <f t="shared" si="15"/>
        <v>46161</v>
      </c>
      <c r="J139" s="162"/>
      <c r="K139" s="93"/>
      <c r="M139" s="94"/>
      <c r="N139" s="301" t="str">
        <f t="shared" si="13"/>
        <v>-</v>
      </c>
    </row>
    <row r="140" spans="3:14" collapsed="1">
      <c r="C140" s="95"/>
      <c r="D140" s="96">
        <f>+MAX($D$14:D139)+1</f>
        <v>120</v>
      </c>
      <c r="E140" s="109" t="str">
        <f>'Internal - DD Request List'!E82</f>
        <v>Tax Appeals / Reduction History</v>
      </c>
      <c r="F140" s="96" t="s">
        <v>27</v>
      </c>
      <c r="G140" s="96" t="s">
        <v>44</v>
      </c>
      <c r="H140" s="96"/>
      <c r="I140" s="116">
        <f t="shared" si="15"/>
        <v>46161</v>
      </c>
      <c r="J140" s="162"/>
      <c r="K140" s="93"/>
      <c r="M140" s="94"/>
      <c r="N140" s="301" t="str">
        <f t="shared" si="13"/>
        <v>-</v>
      </c>
    </row>
    <row r="141" spans="3:14">
      <c r="C141" s="95"/>
      <c r="D141" s="96">
        <f>+MAX($D$14:D140)+1</f>
        <v>121</v>
      </c>
      <c r="E141" s="109" t="str">
        <f>'Internal - DD Request List'!E83</f>
        <v>Tax Bills YTD + 3 prior years (including unsecured personal property)</v>
      </c>
      <c r="F141" s="96" t="s">
        <v>27</v>
      </c>
      <c r="G141" s="96" t="s">
        <v>44</v>
      </c>
      <c r="H141" s="96"/>
      <c r="I141" s="116">
        <f t="shared" si="15"/>
        <v>46161</v>
      </c>
      <c r="J141" s="162"/>
      <c r="K141" s="93"/>
      <c r="M141" s="94"/>
      <c r="N141" s="301" t="str">
        <f t="shared" si="13"/>
        <v>-</v>
      </c>
    </row>
    <row r="142" spans="3:14">
      <c r="C142" s="95"/>
      <c r="D142" s="96">
        <f>+MAX($D$14:D141)+1</f>
        <v>122</v>
      </c>
      <c r="E142" s="109" t="str">
        <f>'Internal - DD Request List'!E84</f>
        <v>Total Insured Value (TIV) / Claims and Loss History - prior 3 years</v>
      </c>
      <c r="F142" s="96" t="s">
        <v>27</v>
      </c>
      <c r="G142" s="96" t="s">
        <v>44</v>
      </c>
      <c r="H142" s="96"/>
      <c r="I142" s="116">
        <f t="shared" si="15"/>
        <v>46161</v>
      </c>
      <c r="J142" s="162"/>
      <c r="K142" s="93"/>
      <c r="M142" s="94"/>
      <c r="N142" s="301" t="str">
        <f t="shared" si="13"/>
        <v>-</v>
      </c>
    </row>
    <row r="143" spans="3:14">
      <c r="C143" s="95"/>
      <c r="D143" s="96">
        <f>+MAX($D$14:D142)+1</f>
        <v>123</v>
      </c>
      <c r="E143" s="109" t="str">
        <f>'Internal - DD Request List'!E85</f>
        <v>Property Management Agreement</v>
      </c>
      <c r="F143" s="96" t="s">
        <v>27</v>
      </c>
      <c r="G143" s="96" t="s">
        <v>44</v>
      </c>
      <c r="H143" s="96"/>
      <c r="I143" s="116">
        <f t="shared" si="15"/>
        <v>46161</v>
      </c>
      <c r="J143" s="162"/>
      <c r="K143" s="93"/>
      <c r="M143" s="94"/>
      <c r="N143" s="301" t="str">
        <f t="shared" si="13"/>
        <v>-</v>
      </c>
    </row>
    <row r="144" spans="3:14" ht="14.45" hidden="1" outlineLevel="1">
      <c r="C144" s="95"/>
      <c r="D144" s="96">
        <f>+MAX($D$14:D143)+1</f>
        <v>124</v>
      </c>
      <c r="E144" s="110" t="str">
        <f>'Internal - DD Request List'!E87</f>
        <v>Review Historical Financials (Accounting/Finance)</v>
      </c>
      <c r="F144" s="96" t="s">
        <v>27</v>
      </c>
      <c r="G144" s="96"/>
      <c r="H144" s="96"/>
      <c r="I144" s="116">
        <f t="shared" si="15"/>
        <v>46161</v>
      </c>
      <c r="J144" s="162"/>
      <c r="K144" s="93"/>
      <c r="M144" s="94"/>
      <c r="N144" s="301" t="str">
        <f t="shared" si="13"/>
        <v>-</v>
      </c>
    </row>
    <row r="145" spans="3:14" ht="30" collapsed="1">
      <c r="C145" s="95"/>
      <c r="D145" s="96">
        <f>+MAX($D$14:D144)+1</f>
        <v>125</v>
      </c>
      <c r="E145" s="108" t="str">
        <f>'Internal - DD Request List'!E88</f>
        <v>Aged Receivable / Delinquency Report YTD (update if available) + 3 prior years</v>
      </c>
      <c r="F145" s="96" t="s">
        <v>35</v>
      </c>
      <c r="G145" s="96" t="s">
        <v>38</v>
      </c>
      <c r="H145" s="96" t="s">
        <v>51</v>
      </c>
      <c r="I145" s="116">
        <f t="shared" si="15"/>
        <v>46161</v>
      </c>
      <c r="J145" s="162" t="s">
        <v>160</v>
      </c>
      <c r="K145" s="93"/>
      <c r="M145" s="94"/>
      <c r="N145" s="301">
        <f t="shared" ref="N145:N165" ca="1" si="16">IF(OR($F145="Closed",ISBLANK(I145)),"-",IFERROR(MAX(I145-$N$12,0),"-"))</f>
        <v>0</v>
      </c>
    </row>
    <row r="146" spans="3:14" ht="14.45" hidden="1" outlineLevel="1">
      <c r="C146" s="95"/>
      <c r="D146" s="96">
        <f>+MAX($D$14:D145)+1</f>
        <v>126</v>
      </c>
      <c r="E146" s="108" t="str">
        <f>'Internal - DD Request List'!E89</f>
        <v>Appraisals</v>
      </c>
      <c r="F146" s="96" t="s">
        <v>27</v>
      </c>
      <c r="G146" s="96" t="s">
        <v>38</v>
      </c>
      <c r="H146" s="96" t="s">
        <v>51</v>
      </c>
      <c r="I146" s="116">
        <f t="shared" si="15"/>
        <v>46161</v>
      </c>
      <c r="J146" s="162"/>
      <c r="K146" s="93"/>
      <c r="M146" s="94"/>
      <c r="N146" s="301" t="str">
        <f t="shared" si="16"/>
        <v>-</v>
      </c>
    </row>
    <row r="147" spans="3:14" ht="28.9" hidden="1" outlineLevel="1">
      <c r="C147" s="95"/>
      <c r="D147" s="96">
        <f>+MAX($D$14:D146)+1</f>
        <v>127</v>
      </c>
      <c r="E147" s="108" t="str">
        <f>'Internal - DD Request List'!E90</f>
        <v>Detailed Operating Budget YTD + 3 prior years</v>
      </c>
      <c r="F147" s="96" t="s">
        <v>27</v>
      </c>
      <c r="G147" s="96" t="s">
        <v>38</v>
      </c>
      <c r="H147" s="96" t="s">
        <v>51</v>
      </c>
      <c r="I147" s="116">
        <f t="shared" si="15"/>
        <v>46161</v>
      </c>
      <c r="J147" s="162" t="s">
        <v>161</v>
      </c>
      <c r="K147" s="93"/>
      <c r="M147" s="94"/>
      <c r="N147" s="301" t="str">
        <f t="shared" si="16"/>
        <v>-</v>
      </c>
    </row>
    <row r="148" spans="3:14" ht="14.45" hidden="1" outlineLevel="1">
      <c r="C148" s="95"/>
      <c r="D148" s="96">
        <f>+MAX($D$14:D147)+1</f>
        <v>128</v>
      </c>
      <c r="E148" s="108" t="str">
        <f>'Internal - DD Request List'!E91</f>
        <v>Capital Expenditures - Historical (3 prior years) &amp; 2026 Budget</v>
      </c>
      <c r="F148" s="96" t="s">
        <v>27</v>
      </c>
      <c r="G148" s="96" t="s">
        <v>162</v>
      </c>
      <c r="H148" s="96" t="s">
        <v>51</v>
      </c>
      <c r="I148" s="116">
        <f t="shared" si="15"/>
        <v>46161</v>
      </c>
      <c r="J148" s="161"/>
      <c r="K148" s="93"/>
      <c r="M148" s="94"/>
      <c r="N148" s="301" t="str">
        <f t="shared" si="16"/>
        <v>-</v>
      </c>
    </row>
    <row r="149" spans="3:14" ht="14.45" hidden="1" outlineLevel="1">
      <c r="C149" s="95"/>
      <c r="D149" s="96">
        <f>+MAX($D$14:D148)+1</f>
        <v>129</v>
      </c>
      <c r="E149" s="108" t="str">
        <f>'Internal - DD Request List'!E92</f>
        <v>Deferred Maintenance</v>
      </c>
      <c r="F149" s="96" t="s">
        <v>27</v>
      </c>
      <c r="G149" s="96" t="s">
        <v>38</v>
      </c>
      <c r="H149" s="96" t="s">
        <v>51</v>
      </c>
      <c r="I149" s="116">
        <f t="shared" si="15"/>
        <v>46161</v>
      </c>
      <c r="J149" s="161"/>
      <c r="K149" s="93"/>
      <c r="M149" s="94"/>
      <c r="N149" s="301" t="str">
        <f t="shared" si="16"/>
        <v>-</v>
      </c>
    </row>
    <row r="150" spans="3:14" ht="14.45" hidden="1" outlineLevel="1">
      <c r="C150" s="95"/>
      <c r="D150" s="96">
        <f>+MAX($D$14:D149)+1</f>
        <v>130</v>
      </c>
      <c r="E150" s="108" t="str">
        <f>'Internal - DD Request List'!E93</f>
        <v>Rent Statements YTD + 3 prior years</v>
      </c>
      <c r="F150" s="96" t="s">
        <v>27</v>
      </c>
      <c r="G150" s="96" t="s">
        <v>38</v>
      </c>
      <c r="H150" s="96" t="s">
        <v>51</v>
      </c>
      <c r="I150" s="116">
        <f t="shared" si="15"/>
        <v>46161</v>
      </c>
      <c r="J150" s="161"/>
      <c r="K150" s="93"/>
      <c r="M150" s="94"/>
      <c r="N150" s="301" t="str">
        <f t="shared" si="16"/>
        <v>-</v>
      </c>
    </row>
    <row r="151" spans="3:14" ht="14.45" hidden="1" outlineLevel="1">
      <c r="C151" s="95"/>
      <c r="D151" s="96">
        <f>+MAX($D$14:D150)+1</f>
        <v>131</v>
      </c>
      <c r="E151" s="108" t="str">
        <f>'Internal - DD Request List'!E94</f>
        <v>Security Deposits Schedule</v>
      </c>
      <c r="F151" s="96" t="s">
        <v>27</v>
      </c>
      <c r="G151" s="96" t="s">
        <v>38</v>
      </c>
      <c r="H151" s="96" t="s">
        <v>51</v>
      </c>
      <c r="I151" s="116">
        <f t="shared" si="15"/>
        <v>46161</v>
      </c>
      <c r="J151" s="161"/>
      <c r="K151" s="93"/>
      <c r="M151" s="94"/>
      <c r="N151" s="301" t="str">
        <f t="shared" si="16"/>
        <v>-</v>
      </c>
    </row>
    <row r="152" spans="3:14" ht="14.45" hidden="1" outlineLevel="1">
      <c r="C152" s="95"/>
      <c r="D152" s="96">
        <f>+MAX($D$14:D151)+1</f>
        <v>132</v>
      </c>
      <c r="E152" s="108" t="str">
        <f>'Internal - DD Request List'!E95</f>
        <v>Tenant Billing Register YTD + 3 prior years</v>
      </c>
      <c r="F152" s="96" t="s">
        <v>27</v>
      </c>
      <c r="G152" s="96" t="s">
        <v>38</v>
      </c>
      <c r="H152" s="96" t="s">
        <v>51</v>
      </c>
      <c r="I152" s="116">
        <f t="shared" si="15"/>
        <v>46161</v>
      </c>
      <c r="J152" s="161"/>
      <c r="K152" s="93"/>
      <c r="M152" s="94"/>
      <c r="N152" s="301" t="str">
        <f t="shared" si="16"/>
        <v>-</v>
      </c>
    </row>
    <row r="153" spans="3:14" ht="14.45" hidden="1" outlineLevel="1">
      <c r="C153" s="95"/>
      <c r="D153" s="96">
        <f>+MAX($D$14:D152)+1</f>
        <v>133</v>
      </c>
      <c r="E153" s="108" t="str">
        <f>'Internal - DD Request List'!E96</f>
        <v>Utility Bills - 12 months</v>
      </c>
      <c r="F153" s="96" t="s">
        <v>27</v>
      </c>
      <c r="G153" s="96" t="s">
        <v>38</v>
      </c>
      <c r="H153" s="96" t="s">
        <v>51</v>
      </c>
      <c r="I153" s="116">
        <f t="shared" si="15"/>
        <v>46161</v>
      </c>
      <c r="J153" s="161"/>
      <c r="K153" s="93"/>
      <c r="M153" s="94"/>
      <c r="N153" s="301" t="str">
        <f t="shared" si="16"/>
        <v>-</v>
      </c>
    </row>
    <row r="154" spans="3:14" ht="14.45" hidden="1" outlineLevel="1">
      <c r="C154" s="95"/>
      <c r="D154" s="96">
        <f>+MAX($D$14:D153)+1</f>
        <v>134</v>
      </c>
      <c r="E154" s="108" t="str">
        <f>'Internal - DD Request List'!E97</f>
        <v>Vendor Bills - 3 prior years</v>
      </c>
      <c r="F154" s="96" t="s">
        <v>27</v>
      </c>
      <c r="G154" s="96" t="s">
        <v>38</v>
      </c>
      <c r="H154" s="96" t="s">
        <v>51</v>
      </c>
      <c r="I154" s="116">
        <f t="shared" si="15"/>
        <v>46161</v>
      </c>
      <c r="J154" s="161"/>
      <c r="K154" s="93"/>
      <c r="M154" s="94"/>
      <c r="N154" s="301" t="str">
        <f t="shared" si="16"/>
        <v>-</v>
      </c>
    </row>
    <row r="155" spans="3:14" ht="28.9" hidden="1" outlineLevel="1">
      <c r="C155" s="95"/>
      <c r="D155" s="96">
        <f>+MAX($D$14:D154)+1</f>
        <v>135</v>
      </c>
      <c r="E155" s="100" t="s">
        <v>163</v>
      </c>
      <c r="F155" s="96" t="s">
        <v>27</v>
      </c>
      <c r="G155" s="96" t="s">
        <v>44</v>
      </c>
      <c r="H155" s="96"/>
      <c r="I155" s="116">
        <f t="shared" si="15"/>
        <v>46161</v>
      </c>
      <c r="J155" s="161" t="s">
        <v>164</v>
      </c>
      <c r="K155" s="93"/>
      <c r="M155" s="94"/>
      <c r="N155" s="301" t="str">
        <f t="shared" si="16"/>
        <v>-</v>
      </c>
    </row>
    <row r="156" spans="3:14" ht="14.45" hidden="1" outlineLevel="1">
      <c r="C156" s="95"/>
      <c r="D156" s="96">
        <f>+MAX($D$14:D155)+1</f>
        <v>136</v>
      </c>
      <c r="E156" s="100" t="s">
        <v>165</v>
      </c>
      <c r="F156" s="96" t="s">
        <v>27</v>
      </c>
      <c r="G156" s="96"/>
      <c r="H156" s="96" t="s">
        <v>51</v>
      </c>
      <c r="I156" s="116">
        <f t="shared" si="15"/>
        <v>46161</v>
      </c>
      <c r="J156" s="162"/>
      <c r="K156" s="93"/>
      <c r="M156" s="94"/>
      <c r="N156" s="301" t="str">
        <f t="shared" si="16"/>
        <v>-</v>
      </c>
    </row>
    <row r="157" spans="3:14" ht="28.15" hidden="1" customHeight="1" outlineLevel="1">
      <c r="C157" s="95"/>
      <c r="D157" s="96">
        <f>+MAX($D$14:D156)+1</f>
        <v>137</v>
      </c>
      <c r="E157" s="98" t="s">
        <v>166</v>
      </c>
      <c r="F157" s="96" t="s">
        <v>27</v>
      </c>
      <c r="G157" s="96" t="s">
        <v>38</v>
      </c>
      <c r="H157" s="96"/>
      <c r="I157" s="116">
        <f t="shared" si="15"/>
        <v>46161</v>
      </c>
      <c r="J157" s="161"/>
      <c r="K157" s="93"/>
      <c r="M157" s="94"/>
      <c r="N157" s="301" t="str">
        <f t="shared" si="16"/>
        <v>-</v>
      </c>
    </row>
    <row r="158" spans="3:14" ht="28.15" hidden="1" customHeight="1" outlineLevel="1">
      <c r="C158" s="95"/>
      <c r="D158" s="96">
        <f>+MAX($D$14:D157)+1</f>
        <v>138</v>
      </c>
      <c r="E158" s="98" t="s">
        <v>167</v>
      </c>
      <c r="F158" s="96" t="s">
        <v>35</v>
      </c>
      <c r="G158" s="96" t="s">
        <v>81</v>
      </c>
      <c r="H158" s="96" t="s">
        <v>59</v>
      </c>
      <c r="I158" s="116">
        <v>46188</v>
      </c>
      <c r="J158" s="317" t="s">
        <v>168</v>
      </c>
      <c r="K158" s="93"/>
      <c r="M158" s="94"/>
      <c r="N158" s="301"/>
    </row>
    <row r="159" spans="3:14" ht="28.15" hidden="1" customHeight="1" outlineLevel="1">
      <c r="C159" s="95"/>
      <c r="D159" s="96">
        <f>+MAX($D$14:D158)+1</f>
        <v>139</v>
      </c>
      <c r="E159" s="98" t="s">
        <v>169</v>
      </c>
      <c r="F159" s="96" t="s">
        <v>35</v>
      </c>
      <c r="G159" s="96" t="s">
        <v>81</v>
      </c>
      <c r="H159" s="96" t="s">
        <v>59</v>
      </c>
      <c r="I159" s="116">
        <v>46235</v>
      </c>
      <c r="J159" s="317" t="s">
        <v>170</v>
      </c>
      <c r="K159" s="93"/>
      <c r="M159" s="94"/>
      <c r="N159" s="301"/>
    </row>
    <row r="160" spans="3:14" collapsed="1">
      <c r="C160" s="95"/>
      <c r="D160" s="96">
        <f>+MAX($D$14:D159)+1</f>
        <v>140</v>
      </c>
      <c r="E160" s="98" t="s">
        <v>171</v>
      </c>
      <c r="F160" s="96" t="s">
        <v>35</v>
      </c>
      <c r="G160" s="96" t="s">
        <v>38</v>
      </c>
      <c r="H160" s="96"/>
      <c r="I160" s="116">
        <f t="shared" si="15"/>
        <v>46161</v>
      </c>
      <c r="J160" s="161"/>
      <c r="K160" s="93"/>
      <c r="M160" s="94"/>
      <c r="N160" s="301">
        <f t="shared" ca="1" si="16"/>
        <v>0</v>
      </c>
    </row>
    <row r="161" spans="3:14">
      <c r="C161" s="88"/>
      <c r="D161" s="89" t="s">
        <v>172</v>
      </c>
      <c r="E161" s="165"/>
      <c r="F161" s="90"/>
      <c r="G161" s="90"/>
      <c r="H161" s="90"/>
      <c r="I161" s="90"/>
      <c r="J161" s="237"/>
      <c r="K161" s="92"/>
      <c r="M161" s="87"/>
      <c r="N161" s="301" t="str">
        <f t="shared" si="16"/>
        <v>-</v>
      </c>
    </row>
    <row r="162" spans="3:14">
      <c r="C162" s="96"/>
      <c r="D162" s="99">
        <f>+MAX($D$14:D161)+1</f>
        <v>141</v>
      </c>
      <c r="E162" s="100" t="s">
        <v>173</v>
      </c>
      <c r="F162" s="99" t="s">
        <v>35</v>
      </c>
      <c r="G162" s="99" t="s">
        <v>44</v>
      </c>
      <c r="H162" s="99"/>
      <c r="I162" s="99" t="s">
        <v>29</v>
      </c>
      <c r="J162" s="235"/>
      <c r="K162" s="101"/>
      <c r="M162" s="102"/>
      <c r="N162" s="301" t="str">
        <f t="shared" ca="1" si="16"/>
        <v>-</v>
      </c>
    </row>
    <row r="163" spans="3:14">
      <c r="C163" s="96"/>
      <c r="D163" s="96">
        <f>+MAX($D$14:D162)+1</f>
        <v>142</v>
      </c>
      <c r="E163" s="97" t="s">
        <v>174</v>
      </c>
      <c r="F163" s="96" t="s">
        <v>35</v>
      </c>
      <c r="G163" s="99" t="s">
        <v>44</v>
      </c>
      <c r="H163" s="96"/>
      <c r="I163" s="99" t="s">
        <v>29</v>
      </c>
      <c r="J163" s="162"/>
      <c r="K163" s="101"/>
      <c r="M163" s="102"/>
      <c r="N163" s="301" t="str">
        <f t="shared" ca="1" si="16"/>
        <v>-</v>
      </c>
    </row>
    <row r="164" spans="3:14">
      <c r="C164" s="96"/>
      <c r="D164" s="96">
        <f>+MAX($D$14:D163)+1</f>
        <v>143</v>
      </c>
      <c r="E164" s="111" t="s">
        <v>175</v>
      </c>
      <c r="F164" s="112" t="s">
        <v>35</v>
      </c>
      <c r="G164" s="99" t="s">
        <v>44</v>
      </c>
      <c r="H164" s="112"/>
      <c r="I164" s="99" t="s">
        <v>29</v>
      </c>
      <c r="J164" s="239"/>
      <c r="K164" s="101"/>
      <c r="M164" s="102"/>
      <c r="N164" s="301" t="str">
        <f t="shared" ca="1" si="16"/>
        <v>-</v>
      </c>
    </row>
    <row r="165" spans="3:14">
      <c r="C165" s="95"/>
      <c r="D165" s="96">
        <f>+MAX($D$14:D164)+1</f>
        <v>144</v>
      </c>
      <c r="E165" s="97" t="s">
        <v>176</v>
      </c>
      <c r="F165" s="96" t="s">
        <v>35</v>
      </c>
      <c r="G165" s="99" t="s">
        <v>44</v>
      </c>
      <c r="H165" s="96"/>
      <c r="I165" s="99" t="s">
        <v>29</v>
      </c>
      <c r="J165" s="161"/>
      <c r="K165" s="93"/>
      <c r="M165" s="94"/>
      <c r="N165" s="301" t="str">
        <f t="shared" ca="1" si="16"/>
        <v>-</v>
      </c>
    </row>
    <row r="65610" spans="11:11">
      <c r="K65610" s="77" t="s">
        <v>177</v>
      </c>
    </row>
  </sheetData>
  <conditionalFormatting sqref="D16:J167">
    <cfRule type="expression" dxfId="8" priority="1">
      <formula>$F16="Closed"</formula>
    </cfRule>
  </conditionalFormatting>
  <pageMargins left="0.01" right="0.01" top="0.01" bottom="0.01" header="0" footer="0"/>
  <pageSetup scale="66" fitToHeight="0" orientation="landscape" r:id="rId1"/>
  <headerFooter alignWithMargins="0"/>
  <rowBreaks count="2" manualBreakCount="2">
    <brk id="115" min="13" max="13" man="1"/>
    <brk id="131" min="1" max="11"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30CB-17F3-4B63-ADC1-54B414598A6A}">
  <sheetPr>
    <tabColor rgb="FFFF9933"/>
    <pageSetUpPr fitToPage="1"/>
  </sheetPr>
  <dimension ref="C2:M65506"/>
  <sheetViews>
    <sheetView showGridLines="0" view="pageBreakPreview" topLeftCell="A71" zoomScale="85" zoomScaleNormal="100" zoomScaleSheetLayoutView="85" workbookViewId="0">
      <selection activeCell="K83" sqref="K83"/>
    </sheetView>
  </sheetViews>
  <sheetFormatPr defaultColWidth="9.140625" defaultRowHeight="15" outlineLevelCol="1"/>
  <cols>
    <col min="1" max="1" width="9.140625" style="1"/>
    <col min="2" max="2" width="1.85546875" style="1" customWidth="1"/>
    <col min="3" max="3" width="10.140625" style="1" hidden="1" customWidth="1"/>
    <col min="4" max="4" width="7.85546875" style="1" customWidth="1" collapsed="1"/>
    <col min="5" max="5" width="94.85546875" style="3" bestFit="1" customWidth="1"/>
    <col min="6" max="6" width="14.42578125" style="1" customWidth="1"/>
    <col min="7" max="7" width="21.140625" style="1" hidden="1" customWidth="1" outlineLevel="1"/>
    <col min="8" max="8" width="17" style="3" hidden="1" customWidth="1" collapsed="1"/>
    <col min="9" max="9" width="55.85546875" style="5" hidden="1" customWidth="1"/>
    <col min="10" max="10" width="45.140625" style="1" hidden="1" customWidth="1"/>
    <col min="11" max="11" width="77.5703125" style="1" bestFit="1" customWidth="1"/>
    <col min="12" max="12" width="11.140625" style="1" customWidth="1" outlineLevel="1"/>
    <col min="13" max="13" width="11.140625" style="1" customWidth="1"/>
    <col min="14" max="16384" width="9.140625" style="1"/>
  </cols>
  <sheetData>
    <row r="2" spans="3:11" ht="18.75">
      <c r="D2" s="2" t="s">
        <v>178</v>
      </c>
      <c r="F2" s="199" t="s">
        <v>179</v>
      </c>
      <c r="K2" s="4"/>
    </row>
    <row r="3" spans="3:11">
      <c r="D3" s="7" t="s">
        <v>180</v>
      </c>
      <c r="F3" s="199">
        <v>46035</v>
      </c>
      <c r="I3" s="3"/>
    </row>
    <row r="4" spans="3:11" ht="15.75" thickBot="1">
      <c r="C4" s="8"/>
      <c r="D4" s="9"/>
      <c r="F4" s="10"/>
      <c r="G4" s="10"/>
      <c r="H4" s="10"/>
      <c r="I4" s="11">
        <f ca="1">+TODAY()</f>
        <v>46217</v>
      </c>
      <c r="K4" s="10"/>
    </row>
    <row r="5" spans="3:11" ht="15.75" thickBot="1">
      <c r="C5" s="12" t="s">
        <v>15</v>
      </c>
      <c r="D5" s="13" t="s">
        <v>16</v>
      </c>
      <c r="E5" s="14" t="s">
        <v>181</v>
      </c>
      <c r="F5" s="15" t="s">
        <v>18</v>
      </c>
      <c r="G5" s="16" t="s">
        <v>182</v>
      </c>
      <c r="H5" s="17" t="s">
        <v>19</v>
      </c>
      <c r="I5" s="18" t="s">
        <v>183</v>
      </c>
      <c r="J5" s="19" t="s">
        <v>23</v>
      </c>
      <c r="K5" s="15" t="s">
        <v>184</v>
      </c>
    </row>
    <row r="6" spans="3:11">
      <c r="C6" s="22"/>
      <c r="D6" s="23" t="s">
        <v>185</v>
      </c>
      <c r="E6" s="24"/>
      <c r="F6" s="24"/>
      <c r="G6" s="24"/>
      <c r="H6" s="24"/>
      <c r="I6" s="25"/>
      <c r="J6" s="26"/>
      <c r="K6" s="24"/>
    </row>
    <row r="7" spans="3:11">
      <c r="C7" s="28"/>
      <c r="D7" s="29">
        <f>+MAX($D$5:D5)+1</f>
        <v>1</v>
      </c>
      <c r="E7" s="30" t="s">
        <v>186</v>
      </c>
      <c r="F7" s="29" t="s">
        <v>35</v>
      </c>
      <c r="G7" s="29" t="s">
        <v>187</v>
      </c>
      <c r="H7" s="29"/>
      <c r="I7" s="31"/>
      <c r="J7" s="32"/>
      <c r="K7" s="171" t="s">
        <v>188</v>
      </c>
    </row>
    <row r="8" spans="3:11" s="37" customFormat="1">
      <c r="C8" s="29"/>
      <c r="D8" s="179">
        <f>+MAX($D$5:D7)+1</f>
        <v>2</v>
      </c>
      <c r="E8" s="213" t="s">
        <v>189</v>
      </c>
      <c r="F8" s="179" t="s">
        <v>27</v>
      </c>
      <c r="G8" s="179" t="s">
        <v>187</v>
      </c>
      <c r="H8" s="179"/>
      <c r="I8" s="214"/>
      <c r="J8" s="183"/>
      <c r="K8" s="179" t="s">
        <v>190</v>
      </c>
    </row>
    <row r="9" spans="3:11" s="37" customFormat="1">
      <c r="C9" s="29"/>
      <c r="D9" s="179">
        <f>+MAX($D$5:D8)+1</f>
        <v>3</v>
      </c>
      <c r="E9" s="213" t="s">
        <v>191</v>
      </c>
      <c r="F9" s="179" t="s">
        <v>27</v>
      </c>
      <c r="G9" s="179" t="s">
        <v>187</v>
      </c>
      <c r="H9" s="179"/>
      <c r="I9" s="214"/>
      <c r="J9" s="183"/>
      <c r="K9" s="179" t="s">
        <v>190</v>
      </c>
    </row>
    <row r="10" spans="3:11">
      <c r="C10" s="22"/>
      <c r="D10" s="23" t="s">
        <v>192</v>
      </c>
      <c r="E10" s="24"/>
      <c r="F10" s="24"/>
      <c r="G10" s="24"/>
      <c r="H10" s="24"/>
      <c r="I10" s="25"/>
      <c r="J10" s="26"/>
      <c r="K10" s="24"/>
    </row>
    <row r="11" spans="3:11">
      <c r="C11" s="28"/>
      <c r="D11" s="103"/>
      <c r="E11" s="104" t="s">
        <v>193</v>
      </c>
      <c r="F11" s="105"/>
      <c r="G11" s="29" t="s">
        <v>194</v>
      </c>
      <c r="H11" s="29"/>
      <c r="I11" s="31"/>
      <c r="J11" s="32"/>
      <c r="K11" s="105"/>
    </row>
    <row r="12" spans="3:11">
      <c r="C12" s="28"/>
      <c r="D12" s="179">
        <f>+MAX($D$5:D11)+1</f>
        <v>4</v>
      </c>
      <c r="E12" s="215" t="s">
        <v>195</v>
      </c>
      <c r="F12" s="179" t="s">
        <v>27</v>
      </c>
      <c r="G12" s="179" t="s">
        <v>194</v>
      </c>
      <c r="H12" s="179"/>
      <c r="I12" s="187"/>
      <c r="J12" s="183"/>
      <c r="K12" s="179" t="s">
        <v>190</v>
      </c>
    </row>
    <row r="13" spans="3:11">
      <c r="C13" s="40"/>
      <c r="D13" s="34">
        <f>+MAX($D$5:D12)+1</f>
        <v>5</v>
      </c>
      <c r="E13" s="313" t="s">
        <v>196</v>
      </c>
      <c r="F13" s="314" t="s">
        <v>35</v>
      </c>
      <c r="G13" s="34" t="s">
        <v>194</v>
      </c>
      <c r="H13" s="314"/>
      <c r="I13" s="315"/>
      <c r="J13" s="316"/>
      <c r="K13" s="34" t="s">
        <v>197</v>
      </c>
    </row>
    <row r="14" spans="3:11">
      <c r="C14" s="40"/>
      <c r="D14" s="173">
        <f>+MAX($D$5:D13)+1</f>
        <v>6</v>
      </c>
      <c r="E14" s="184" t="s">
        <v>198</v>
      </c>
      <c r="F14" s="185" t="s">
        <v>198</v>
      </c>
      <c r="G14" s="186" t="s">
        <v>198</v>
      </c>
      <c r="H14" s="176"/>
      <c r="I14" s="177"/>
      <c r="J14" s="178"/>
      <c r="K14" s="187"/>
    </row>
    <row r="15" spans="3:11">
      <c r="C15" s="40"/>
      <c r="D15" s="179">
        <f>+MAX($D$5:D14)+1</f>
        <v>7</v>
      </c>
      <c r="E15" s="174" t="s">
        <v>199</v>
      </c>
      <c r="F15" s="175" t="s">
        <v>27</v>
      </c>
      <c r="G15" s="29" t="s">
        <v>194</v>
      </c>
      <c r="H15" s="47"/>
      <c r="I15" s="48"/>
      <c r="J15" s="43"/>
      <c r="K15" s="179" t="s">
        <v>190</v>
      </c>
    </row>
    <row r="16" spans="3:11">
      <c r="C16" s="40"/>
      <c r="D16" s="179">
        <f>+MAX($D$5:D15)+1</f>
        <v>8</v>
      </c>
      <c r="E16" s="174" t="s">
        <v>200</v>
      </c>
      <c r="F16" s="175" t="s">
        <v>27</v>
      </c>
      <c r="G16" s="29" t="s">
        <v>194</v>
      </c>
      <c r="H16" s="47"/>
      <c r="I16" s="48"/>
      <c r="J16" s="43"/>
      <c r="K16" s="179" t="s">
        <v>190</v>
      </c>
    </row>
    <row r="17" spans="3:11">
      <c r="C17" s="40"/>
      <c r="D17" s="179">
        <f>+MAX($D$5:D16)+1</f>
        <v>9</v>
      </c>
      <c r="E17" s="174" t="s">
        <v>201</v>
      </c>
      <c r="F17" s="175" t="s">
        <v>27</v>
      </c>
      <c r="G17" s="29" t="s">
        <v>194</v>
      </c>
      <c r="H17" s="47"/>
      <c r="I17" s="48"/>
      <c r="J17" s="43"/>
      <c r="K17" s="179" t="s">
        <v>190</v>
      </c>
    </row>
    <row r="18" spans="3:11">
      <c r="C18" s="40"/>
      <c r="D18" s="175">
        <f>+MAX($D$5:D17)+1</f>
        <v>10</v>
      </c>
      <c r="E18" s="174" t="s">
        <v>202</v>
      </c>
      <c r="F18" s="175" t="s">
        <v>27</v>
      </c>
      <c r="G18" s="29" t="s">
        <v>194</v>
      </c>
      <c r="H18" s="47"/>
      <c r="I18" s="48"/>
      <c r="J18" s="43"/>
      <c r="K18" s="179" t="s">
        <v>190</v>
      </c>
    </row>
    <row r="19" spans="3:11">
      <c r="C19" s="40"/>
      <c r="D19" s="103"/>
      <c r="E19" s="106" t="s">
        <v>203</v>
      </c>
      <c r="F19" s="105"/>
      <c r="G19" s="50"/>
      <c r="H19" s="47"/>
      <c r="I19" s="48"/>
      <c r="J19" s="43"/>
      <c r="K19" s="105"/>
    </row>
    <row r="20" spans="3:11">
      <c r="C20" s="40"/>
      <c r="D20" s="179">
        <f>+MAX($D$5:D19)+1</f>
        <v>11</v>
      </c>
      <c r="E20" s="174" t="s">
        <v>204</v>
      </c>
      <c r="F20" s="175" t="s">
        <v>27</v>
      </c>
      <c r="G20" s="29" t="s">
        <v>194</v>
      </c>
      <c r="H20" s="47"/>
      <c r="I20" s="48"/>
      <c r="J20" s="43"/>
      <c r="K20" s="179" t="s">
        <v>190</v>
      </c>
    </row>
    <row r="21" spans="3:11">
      <c r="C21" s="40"/>
      <c r="D21" s="179">
        <f>+MAX($D$5:D20)+1</f>
        <v>12</v>
      </c>
      <c r="E21" s="174" t="s">
        <v>205</v>
      </c>
      <c r="F21" s="175" t="s">
        <v>27</v>
      </c>
      <c r="G21" s="29" t="s">
        <v>194</v>
      </c>
      <c r="H21" s="47"/>
      <c r="I21" s="48"/>
      <c r="J21" s="43"/>
      <c r="K21" s="179" t="s">
        <v>190</v>
      </c>
    </row>
    <row r="22" spans="3:11">
      <c r="C22" s="40"/>
      <c r="D22" s="179">
        <f>+MAX($D$5:D21)+1</f>
        <v>13</v>
      </c>
      <c r="E22" s="174" t="s">
        <v>206</v>
      </c>
      <c r="F22" s="175" t="s">
        <v>27</v>
      </c>
      <c r="G22" s="29" t="s">
        <v>194</v>
      </c>
      <c r="H22" s="47"/>
      <c r="I22" s="48"/>
      <c r="J22" s="43"/>
      <c r="K22" s="179" t="s">
        <v>190</v>
      </c>
    </row>
    <row r="23" spans="3:11">
      <c r="C23" s="40"/>
      <c r="D23" s="173">
        <f>+MAX($D$5:D22)+1</f>
        <v>14</v>
      </c>
      <c r="E23" s="174" t="s">
        <v>207</v>
      </c>
      <c r="F23" s="175" t="s">
        <v>208</v>
      </c>
      <c r="G23" s="173" t="s">
        <v>194</v>
      </c>
      <c r="H23" s="176"/>
      <c r="I23" s="177"/>
      <c r="J23" s="178"/>
      <c r="K23" s="175" t="s">
        <v>209</v>
      </c>
    </row>
    <row r="24" spans="3:11">
      <c r="C24" s="40"/>
      <c r="D24" s="179">
        <f>+MAX($D$5:D23)+1</f>
        <v>15</v>
      </c>
      <c r="E24" s="174" t="s">
        <v>210</v>
      </c>
      <c r="F24" s="175" t="s">
        <v>27</v>
      </c>
      <c r="G24" s="29" t="s">
        <v>194</v>
      </c>
      <c r="H24" s="47"/>
      <c r="I24" s="48"/>
      <c r="J24" s="43"/>
      <c r="K24" s="179" t="s">
        <v>190</v>
      </c>
    </row>
    <row r="25" spans="3:11">
      <c r="C25" s="40"/>
      <c r="D25" s="179">
        <f>+MAX($D$5:D24)+1</f>
        <v>16</v>
      </c>
      <c r="E25" s="174" t="s">
        <v>211</v>
      </c>
      <c r="F25" s="175" t="s">
        <v>27</v>
      </c>
      <c r="G25" s="29" t="s">
        <v>194</v>
      </c>
      <c r="H25" s="47"/>
      <c r="I25" s="48"/>
      <c r="J25" s="43"/>
      <c r="K25" s="179" t="s">
        <v>190</v>
      </c>
    </row>
    <row r="26" spans="3:11">
      <c r="C26" s="40"/>
      <c r="D26" s="179">
        <f>+MAX($D$5:D25)+1</f>
        <v>17</v>
      </c>
      <c r="E26" s="174" t="s">
        <v>212</v>
      </c>
      <c r="F26" s="175" t="s">
        <v>27</v>
      </c>
      <c r="G26" s="29" t="s">
        <v>194</v>
      </c>
      <c r="H26" s="47"/>
      <c r="I26" s="48"/>
      <c r="J26" s="43"/>
      <c r="K26" s="179" t="s">
        <v>190</v>
      </c>
    </row>
    <row r="27" spans="3:11">
      <c r="C27" s="40"/>
      <c r="D27" s="173">
        <f>+MAX($D$5:D26)+1</f>
        <v>18</v>
      </c>
      <c r="E27" s="188" t="s">
        <v>198</v>
      </c>
      <c r="F27" s="189" t="s">
        <v>198</v>
      </c>
      <c r="G27" s="186" t="s">
        <v>198</v>
      </c>
      <c r="H27" s="176"/>
      <c r="I27" s="177"/>
      <c r="J27" s="178"/>
      <c r="K27" s="177"/>
    </row>
    <row r="28" spans="3:11">
      <c r="C28" s="40"/>
      <c r="D28" s="173">
        <f>+MAX($D$5:D27)+1</f>
        <v>19</v>
      </c>
      <c r="E28" s="184" t="s">
        <v>198</v>
      </c>
      <c r="F28" s="185" t="s">
        <v>198</v>
      </c>
      <c r="G28" s="186" t="s">
        <v>198</v>
      </c>
      <c r="H28" s="176"/>
      <c r="I28" s="177"/>
      <c r="J28" s="178"/>
      <c r="K28" s="187"/>
    </row>
    <row r="29" spans="3:11">
      <c r="C29" s="40"/>
      <c r="D29" s="103"/>
      <c r="E29" s="106" t="s">
        <v>213</v>
      </c>
      <c r="F29" s="105"/>
      <c r="G29" s="50"/>
      <c r="H29" s="47"/>
      <c r="I29" s="48"/>
      <c r="J29" s="43"/>
      <c r="K29" s="105"/>
    </row>
    <row r="30" spans="3:11">
      <c r="C30" s="40"/>
      <c r="D30" s="179">
        <f>+MAX($D$5:D29)+1</f>
        <v>20</v>
      </c>
      <c r="E30" s="216" t="s">
        <v>214</v>
      </c>
      <c r="F30" s="175" t="s">
        <v>27</v>
      </c>
      <c r="G30" s="29" t="s">
        <v>194</v>
      </c>
      <c r="H30" s="47"/>
      <c r="I30" s="48"/>
      <c r="J30" s="43"/>
      <c r="K30" s="179" t="s">
        <v>190</v>
      </c>
    </row>
    <row r="31" spans="3:11">
      <c r="C31" s="40"/>
      <c r="D31" s="179">
        <f>+MAX($D$5:D30)+1</f>
        <v>21</v>
      </c>
      <c r="E31" s="217" t="s">
        <v>215</v>
      </c>
      <c r="F31" s="175" t="s">
        <v>27</v>
      </c>
      <c r="G31" s="29" t="s">
        <v>194</v>
      </c>
      <c r="H31" s="47"/>
      <c r="I31" s="48"/>
      <c r="J31" s="43"/>
      <c r="K31" s="179" t="s">
        <v>190</v>
      </c>
    </row>
    <row r="32" spans="3:11" ht="30">
      <c r="C32" s="40"/>
      <c r="D32" s="179">
        <f>+MAX($D$5:D31)+1</f>
        <v>22</v>
      </c>
      <c r="E32" s="180" t="s">
        <v>216</v>
      </c>
      <c r="F32" s="175" t="s">
        <v>208</v>
      </c>
      <c r="G32" s="173" t="s">
        <v>194</v>
      </c>
      <c r="H32" s="176"/>
      <c r="I32" s="177"/>
      <c r="J32" s="178"/>
      <c r="K32" s="177" t="s">
        <v>217</v>
      </c>
    </row>
    <row r="33" spans="3:13">
      <c r="C33" s="40"/>
      <c r="D33" s="179">
        <f>+MAX($D$5:D32)+1</f>
        <v>23</v>
      </c>
      <c r="E33" s="217" t="s">
        <v>218</v>
      </c>
      <c r="F33" s="175" t="s">
        <v>27</v>
      </c>
      <c r="G33" s="29" t="s">
        <v>194</v>
      </c>
      <c r="H33" s="47"/>
      <c r="I33" s="48"/>
      <c r="J33" s="43"/>
      <c r="K33" s="179" t="s">
        <v>190</v>
      </c>
    </row>
    <row r="34" spans="3:13">
      <c r="C34" s="40"/>
      <c r="D34" s="179">
        <f>+MAX($D$5:D33)+1</f>
        <v>24</v>
      </c>
      <c r="E34" s="184" t="s">
        <v>198</v>
      </c>
      <c r="F34" s="185" t="s">
        <v>198</v>
      </c>
      <c r="G34" s="186" t="s">
        <v>198</v>
      </c>
      <c r="H34" s="176"/>
      <c r="I34" s="177"/>
      <c r="J34" s="178"/>
      <c r="K34" s="187"/>
    </row>
    <row r="35" spans="3:13">
      <c r="C35" s="40"/>
      <c r="D35" s="179">
        <f>+MAX($D$5:D34)+1</f>
        <v>25</v>
      </c>
      <c r="E35" s="218" t="s">
        <v>219</v>
      </c>
      <c r="F35" s="175" t="s">
        <v>27</v>
      </c>
      <c r="G35" s="179" t="s">
        <v>194</v>
      </c>
      <c r="H35" s="176"/>
      <c r="I35" s="177"/>
      <c r="J35" s="178"/>
      <c r="K35" s="176" t="s">
        <v>220</v>
      </c>
    </row>
    <row r="36" spans="3:13">
      <c r="C36" s="40"/>
      <c r="D36" s="179">
        <f>+MAX($D$5:D35)+1</f>
        <v>26</v>
      </c>
      <c r="E36" s="218" t="s">
        <v>221</v>
      </c>
      <c r="F36" s="175" t="s">
        <v>27</v>
      </c>
      <c r="G36" s="179" t="s">
        <v>194</v>
      </c>
      <c r="H36" s="176"/>
      <c r="I36" s="177"/>
      <c r="J36" s="178"/>
      <c r="K36" s="176" t="s">
        <v>222</v>
      </c>
    </row>
    <row r="37" spans="3:13">
      <c r="C37" s="40"/>
      <c r="D37" s="55">
        <f>+MAX($D$5:D36)+1</f>
        <v>27</v>
      </c>
      <c r="E37" s="57" t="s">
        <v>223</v>
      </c>
      <c r="F37" s="40" t="s">
        <v>35</v>
      </c>
      <c r="G37" s="29"/>
      <c r="H37" s="47"/>
      <c r="I37" s="48"/>
      <c r="J37" s="43"/>
      <c r="K37" s="40"/>
    </row>
    <row r="38" spans="3:13">
      <c r="C38" s="22"/>
      <c r="D38" s="23" t="s">
        <v>224</v>
      </c>
      <c r="E38" s="24"/>
      <c r="F38" s="24"/>
      <c r="G38" s="24"/>
      <c r="H38" s="24"/>
      <c r="I38" s="25"/>
      <c r="J38" s="26"/>
      <c r="K38" s="24"/>
    </row>
    <row r="39" spans="3:13" s="37" customFormat="1">
      <c r="C39" s="58"/>
      <c r="D39" s="103"/>
      <c r="E39" s="104" t="s">
        <v>225</v>
      </c>
      <c r="F39" s="105"/>
      <c r="G39" s="60"/>
      <c r="H39" s="60"/>
      <c r="I39" s="61"/>
      <c r="J39" s="32"/>
      <c r="K39" s="105"/>
    </row>
    <row r="40" spans="3:13" s="37" customFormat="1">
      <c r="C40" s="58"/>
      <c r="D40" s="179">
        <f>+MAX($D$5:D39)+1</f>
        <v>28</v>
      </c>
      <c r="E40" s="180" t="s">
        <v>226</v>
      </c>
      <c r="F40" s="173" t="s">
        <v>208</v>
      </c>
      <c r="G40" s="181" t="s">
        <v>227</v>
      </c>
      <c r="H40" s="181"/>
      <c r="I40" s="182"/>
      <c r="J40" s="183"/>
      <c r="K40" s="173"/>
    </row>
    <row r="41" spans="3:13" s="37" customFormat="1">
      <c r="C41" s="58"/>
      <c r="D41" s="55">
        <f>+MAX($D$5:D40)+1</f>
        <v>29</v>
      </c>
      <c r="E41" s="194" t="s">
        <v>228</v>
      </c>
      <c r="F41" s="29" t="s">
        <v>35</v>
      </c>
      <c r="G41" s="60"/>
      <c r="H41" s="60"/>
      <c r="I41" s="61"/>
      <c r="J41" s="32"/>
      <c r="K41" s="220" t="s">
        <v>229</v>
      </c>
      <c r="M41" s="169"/>
    </row>
    <row r="42" spans="3:13" s="37" customFormat="1">
      <c r="C42" s="58"/>
      <c r="D42" s="179">
        <f>+MAX($D$5:D41)+1</f>
        <v>30</v>
      </c>
      <c r="E42" s="217" t="s">
        <v>230</v>
      </c>
      <c r="F42" s="179" t="s">
        <v>27</v>
      </c>
      <c r="G42" s="60" t="s">
        <v>227</v>
      </c>
      <c r="H42" s="60"/>
      <c r="I42" s="61"/>
      <c r="J42" s="32"/>
      <c r="K42" s="179" t="s">
        <v>190</v>
      </c>
    </row>
    <row r="43" spans="3:13" s="37" customFormat="1">
      <c r="C43" s="58"/>
      <c r="D43" s="179">
        <f>+MAX($D$5:D42)+1</f>
        <v>31</v>
      </c>
      <c r="E43" s="180" t="s">
        <v>231</v>
      </c>
      <c r="F43" s="173" t="s">
        <v>208</v>
      </c>
      <c r="G43" s="181" t="s">
        <v>227</v>
      </c>
      <c r="H43" s="181"/>
      <c r="I43" s="182"/>
      <c r="J43" s="183"/>
      <c r="K43" s="173"/>
    </row>
    <row r="44" spans="3:13" s="37" customFormat="1">
      <c r="C44" s="58"/>
      <c r="D44" s="103"/>
      <c r="E44" s="104" t="s">
        <v>232</v>
      </c>
      <c r="F44" s="105"/>
      <c r="G44" s="60"/>
      <c r="H44" s="60"/>
      <c r="I44" s="61"/>
      <c r="J44" s="32"/>
      <c r="K44" s="105"/>
    </row>
    <row r="45" spans="3:13" s="37" customFormat="1">
      <c r="C45" s="58"/>
      <c r="D45" s="179">
        <f>+MAX($D$5:D43)+1</f>
        <v>32</v>
      </c>
      <c r="E45" s="219" t="s">
        <v>233</v>
      </c>
      <c r="F45" s="179" t="s">
        <v>27</v>
      </c>
      <c r="G45" s="60" t="s">
        <v>227</v>
      </c>
      <c r="H45" s="60"/>
      <c r="I45" s="61"/>
      <c r="J45" s="32"/>
      <c r="K45" s="179" t="s">
        <v>190</v>
      </c>
    </row>
    <row r="46" spans="3:13" s="37" customFormat="1">
      <c r="C46" s="58"/>
      <c r="D46" s="55">
        <f>+MAX($D$5:D45)+1</f>
        <v>33</v>
      </c>
      <c r="E46" s="76" t="s">
        <v>234</v>
      </c>
      <c r="F46" s="29" t="s">
        <v>235</v>
      </c>
      <c r="G46" s="60" t="s">
        <v>227</v>
      </c>
      <c r="H46" s="60"/>
      <c r="I46" s="61"/>
      <c r="J46" s="32"/>
      <c r="K46" s="220" t="s">
        <v>236</v>
      </c>
    </row>
    <row r="47" spans="3:13" s="37" customFormat="1">
      <c r="C47" s="58"/>
      <c r="D47" s="179">
        <f>+MAX($D$5:D46)+1</f>
        <v>34</v>
      </c>
      <c r="E47" s="219" t="s">
        <v>237</v>
      </c>
      <c r="F47" s="179" t="s">
        <v>27</v>
      </c>
      <c r="G47" s="60" t="s">
        <v>227</v>
      </c>
      <c r="H47" s="60"/>
      <c r="I47" s="61"/>
      <c r="J47" s="32"/>
      <c r="K47" s="179" t="s">
        <v>190</v>
      </c>
    </row>
    <row r="48" spans="3:13" s="37" customFormat="1" ht="30">
      <c r="C48" s="58"/>
      <c r="D48" s="55">
        <f>+MAX($D$5:D47)+1</f>
        <v>35</v>
      </c>
      <c r="E48" s="76" t="s">
        <v>238</v>
      </c>
      <c r="F48" s="29" t="s">
        <v>235</v>
      </c>
      <c r="G48" s="60" t="s">
        <v>227</v>
      </c>
      <c r="H48" s="60"/>
      <c r="I48" s="61"/>
      <c r="J48" s="32"/>
      <c r="K48" s="198" t="s">
        <v>239</v>
      </c>
    </row>
    <row r="49" spans="3:11" s="37" customFormat="1">
      <c r="C49" s="58"/>
      <c r="D49" s="179">
        <f>+MAX($D$5:D48)+1</f>
        <v>36</v>
      </c>
      <c r="E49" s="188" t="s">
        <v>198</v>
      </c>
      <c r="F49" s="189" t="s">
        <v>198</v>
      </c>
      <c r="G49" s="186" t="s">
        <v>198</v>
      </c>
      <c r="H49" s="181"/>
      <c r="I49" s="182"/>
      <c r="J49" s="183"/>
      <c r="K49" s="177"/>
    </row>
    <row r="50" spans="3:11" s="37" customFormat="1">
      <c r="C50" s="58"/>
      <c r="D50" s="179">
        <f>+MAX($D$5:D49)+1</f>
        <v>37</v>
      </c>
      <c r="E50" s="184" t="s">
        <v>198</v>
      </c>
      <c r="F50" s="185" t="s">
        <v>198</v>
      </c>
      <c r="G50" s="185" t="s">
        <v>198</v>
      </c>
      <c r="H50" s="181"/>
      <c r="I50" s="182"/>
      <c r="J50" s="183"/>
      <c r="K50" s="187"/>
    </row>
    <row r="51" spans="3:11" s="37" customFormat="1">
      <c r="C51" s="58"/>
      <c r="D51" s="179">
        <f>+MAX($D$5:D50)+1</f>
        <v>38</v>
      </c>
      <c r="E51" s="219" t="s">
        <v>240</v>
      </c>
      <c r="F51" s="221" t="s">
        <v>208</v>
      </c>
      <c r="G51" s="221" t="s">
        <v>227</v>
      </c>
      <c r="H51" s="221"/>
      <c r="I51" s="222"/>
      <c r="J51" s="183"/>
      <c r="K51" s="223" t="s">
        <v>241</v>
      </c>
    </row>
    <row r="52" spans="3:11" s="37" customFormat="1">
      <c r="C52" s="58"/>
      <c r="D52" s="224">
        <f>+MAX($D$5:D51)+1</f>
        <v>39</v>
      </c>
      <c r="E52" s="225" t="s">
        <v>242</v>
      </c>
      <c r="F52" s="224" t="s">
        <v>27</v>
      </c>
      <c r="G52" s="226" t="s">
        <v>227</v>
      </c>
      <c r="H52" s="226"/>
      <c r="I52" s="227"/>
      <c r="J52" s="228"/>
      <c r="K52" s="224" t="s">
        <v>190</v>
      </c>
    </row>
    <row r="53" spans="3:11" s="37" customFormat="1">
      <c r="C53" s="58"/>
      <c r="D53" s="179">
        <f>+MAX($D$5:D52)+1</f>
        <v>40</v>
      </c>
      <c r="E53" s="195" t="s">
        <v>243</v>
      </c>
      <c r="F53" s="173" t="s">
        <v>208</v>
      </c>
      <c r="G53" s="181" t="s">
        <v>227</v>
      </c>
      <c r="H53" s="181"/>
      <c r="I53" s="182"/>
      <c r="J53" s="183"/>
      <c r="K53" s="173"/>
    </row>
    <row r="54" spans="3:11" s="37" customFormat="1">
      <c r="C54" s="58"/>
      <c r="D54" s="179">
        <f>+MAX($D$5:D53)+1</f>
        <v>41</v>
      </c>
      <c r="E54" s="195" t="s">
        <v>244</v>
      </c>
      <c r="F54" s="173" t="s">
        <v>208</v>
      </c>
      <c r="G54" s="181" t="s">
        <v>227</v>
      </c>
      <c r="H54" s="181"/>
      <c r="I54" s="182"/>
      <c r="J54" s="183"/>
      <c r="K54" s="191"/>
    </row>
    <row r="55" spans="3:11" s="37" customFormat="1">
      <c r="C55" s="58"/>
      <c r="D55" s="179">
        <f>+MAX($D$5:D54)+1</f>
        <v>42</v>
      </c>
      <c r="E55" s="195" t="s">
        <v>245</v>
      </c>
      <c r="F55" s="173" t="s">
        <v>208</v>
      </c>
      <c r="G55" s="181" t="s">
        <v>227</v>
      </c>
      <c r="H55" s="181"/>
      <c r="I55" s="182"/>
      <c r="J55" s="183"/>
      <c r="K55" s="173"/>
    </row>
    <row r="56" spans="3:11" s="37" customFormat="1">
      <c r="C56" s="58"/>
      <c r="D56" s="179">
        <f>+MAX($D$5:D55)+1</f>
        <v>43</v>
      </c>
      <c r="E56" s="219" t="s">
        <v>246</v>
      </c>
      <c r="F56" s="179" t="s">
        <v>27</v>
      </c>
      <c r="G56" s="60" t="s">
        <v>227</v>
      </c>
      <c r="H56" s="60"/>
      <c r="I56" s="61"/>
      <c r="J56" s="32"/>
      <c r="K56" s="224" t="s">
        <v>190</v>
      </c>
    </row>
    <row r="57" spans="3:11" s="37" customFormat="1">
      <c r="C57" s="58"/>
      <c r="D57" s="179">
        <f>+MAX($D$5:D56)+1</f>
        <v>44</v>
      </c>
      <c r="E57" s="219" t="s">
        <v>247</v>
      </c>
      <c r="F57" s="179" t="s">
        <v>27</v>
      </c>
      <c r="G57" s="60" t="s">
        <v>227</v>
      </c>
      <c r="H57" s="60"/>
      <c r="I57" s="61"/>
      <c r="J57" s="32"/>
      <c r="K57" s="224" t="s">
        <v>190</v>
      </c>
    </row>
    <row r="58" spans="3:11" s="37" customFormat="1">
      <c r="C58" s="58"/>
      <c r="D58" s="179">
        <f>+MAX($D$5:D57)+1</f>
        <v>45</v>
      </c>
      <c r="E58" s="219" t="s">
        <v>248</v>
      </c>
      <c r="F58" s="179" t="s">
        <v>27</v>
      </c>
      <c r="G58" s="60" t="s">
        <v>227</v>
      </c>
      <c r="H58" s="60"/>
      <c r="I58" s="61"/>
      <c r="J58" s="32"/>
      <c r="K58" s="224" t="s">
        <v>190</v>
      </c>
    </row>
    <row r="59" spans="3:11" s="37" customFormat="1">
      <c r="C59" s="58"/>
      <c r="D59" s="179">
        <f>+MAX($D$5:D58)+1</f>
        <v>46</v>
      </c>
      <c r="E59" s="219" t="s">
        <v>249</v>
      </c>
      <c r="F59" s="179" t="s">
        <v>27</v>
      </c>
      <c r="G59" s="60" t="s">
        <v>227</v>
      </c>
      <c r="H59" s="60"/>
      <c r="I59" s="61"/>
      <c r="J59" s="32"/>
      <c r="K59" s="224" t="s">
        <v>190</v>
      </c>
    </row>
    <row r="60" spans="3:11" s="37" customFormat="1">
      <c r="C60" s="58"/>
      <c r="D60" s="179">
        <f>+MAX($D$5:D59)+1</f>
        <v>47</v>
      </c>
      <c r="E60" s="219" t="s">
        <v>250</v>
      </c>
      <c r="F60" s="179" t="s">
        <v>27</v>
      </c>
      <c r="G60" s="60" t="s">
        <v>227</v>
      </c>
      <c r="H60" s="60"/>
      <c r="I60" s="61"/>
      <c r="J60" s="32"/>
      <c r="K60" s="224" t="s">
        <v>190</v>
      </c>
    </row>
    <row r="61" spans="3:11" s="37" customFormat="1">
      <c r="C61" s="58"/>
      <c r="D61" s="179">
        <f>+MAX($D$5:D60)+1</f>
        <v>48</v>
      </c>
      <c r="E61" s="219" t="s">
        <v>251</v>
      </c>
      <c r="F61" s="179" t="s">
        <v>27</v>
      </c>
      <c r="G61" s="60" t="s">
        <v>227</v>
      </c>
      <c r="H61" s="60"/>
      <c r="I61" s="61"/>
      <c r="J61" s="32"/>
      <c r="K61" s="224" t="s">
        <v>190</v>
      </c>
    </row>
    <row r="62" spans="3:11" s="37" customFormat="1">
      <c r="C62" s="58"/>
      <c r="D62" s="179">
        <f>+MAX($D$5:D61)+1</f>
        <v>49</v>
      </c>
      <c r="E62" s="219" t="s">
        <v>252</v>
      </c>
      <c r="F62" s="179" t="s">
        <v>27</v>
      </c>
      <c r="G62" s="60" t="s">
        <v>227</v>
      </c>
      <c r="H62" s="60"/>
      <c r="I62" s="61"/>
      <c r="J62" s="32"/>
      <c r="K62" s="224" t="s">
        <v>190</v>
      </c>
    </row>
    <row r="63" spans="3:11">
      <c r="C63" s="58"/>
      <c r="D63" s="179">
        <f>+MAX($D$5:D62)+1</f>
        <v>50</v>
      </c>
      <c r="E63" s="184" t="s">
        <v>198</v>
      </c>
      <c r="F63" s="185" t="s">
        <v>198</v>
      </c>
      <c r="G63" s="185" t="s">
        <v>198</v>
      </c>
      <c r="H63" s="181"/>
      <c r="I63" s="182"/>
      <c r="J63" s="183"/>
      <c r="K63" s="187"/>
    </row>
    <row r="64" spans="3:11">
      <c r="C64" s="58"/>
      <c r="D64" s="62" t="s">
        <v>253</v>
      </c>
      <c r="E64" s="63"/>
      <c r="F64" s="64"/>
      <c r="G64" s="65"/>
      <c r="H64" s="65"/>
      <c r="I64" s="63"/>
      <c r="J64" s="32"/>
      <c r="K64" s="64"/>
    </row>
    <row r="65" spans="3:13" s="37" customFormat="1">
      <c r="C65" s="58"/>
      <c r="D65" s="103"/>
      <c r="E65" s="107" t="s">
        <v>254</v>
      </c>
      <c r="F65" s="105"/>
      <c r="G65" s="60"/>
      <c r="H65" s="60"/>
      <c r="I65" s="61"/>
      <c r="J65" s="32"/>
      <c r="K65" s="105"/>
    </row>
    <row r="66" spans="3:13" s="37" customFormat="1">
      <c r="C66" s="58"/>
      <c r="D66" s="179">
        <f>+MAX($D$5:D63)+1</f>
        <v>51</v>
      </c>
      <c r="E66" s="217" t="s">
        <v>255</v>
      </c>
      <c r="F66" s="179" t="s">
        <v>208</v>
      </c>
      <c r="G66" s="221" t="s">
        <v>227</v>
      </c>
      <c r="H66" s="221"/>
      <c r="I66" s="222"/>
      <c r="J66" s="183"/>
      <c r="K66" s="179"/>
    </row>
    <row r="67" spans="3:13" s="37" customFormat="1">
      <c r="C67" s="58"/>
      <c r="D67" s="179">
        <f>+MAX($D$5:D66)+1</f>
        <v>52</v>
      </c>
      <c r="E67" s="180" t="s">
        <v>256</v>
      </c>
      <c r="F67" s="173" t="s">
        <v>208</v>
      </c>
      <c r="G67" s="181" t="s">
        <v>227</v>
      </c>
      <c r="H67" s="181"/>
      <c r="I67" s="182"/>
      <c r="J67" s="183"/>
      <c r="K67" s="173"/>
    </row>
    <row r="68" spans="3:13" s="37" customFormat="1">
      <c r="C68" s="58"/>
      <c r="D68" s="179">
        <f>+MAX($D$5:D67)+1</f>
        <v>53</v>
      </c>
      <c r="E68" s="196" t="s">
        <v>257</v>
      </c>
      <c r="F68" s="173" t="s">
        <v>208</v>
      </c>
      <c r="G68" s="173"/>
      <c r="H68" s="173"/>
      <c r="I68" s="197"/>
      <c r="J68" s="183"/>
      <c r="K68" s="181"/>
    </row>
    <row r="69" spans="3:13" s="37" customFormat="1">
      <c r="C69" s="58"/>
      <c r="D69" s="179">
        <f>+MAX($D$5:D68)+1</f>
        <v>54</v>
      </c>
      <c r="E69" s="196" t="s">
        <v>258</v>
      </c>
      <c r="F69" s="173" t="s">
        <v>208</v>
      </c>
      <c r="G69" s="173" t="s">
        <v>227</v>
      </c>
      <c r="H69" s="173"/>
      <c r="I69" s="197"/>
      <c r="J69" s="183"/>
      <c r="K69" s="181"/>
    </row>
    <row r="70" spans="3:13" s="37" customFormat="1">
      <c r="C70" s="58"/>
      <c r="D70" s="179">
        <f>+MAX($D$5:D69)+1</f>
        <v>55</v>
      </c>
      <c r="E70" s="217" t="s">
        <v>259</v>
      </c>
      <c r="F70" s="221" t="s">
        <v>208</v>
      </c>
      <c r="G70" s="221" t="s">
        <v>227</v>
      </c>
      <c r="H70" s="221"/>
      <c r="I70" s="222"/>
      <c r="J70" s="183"/>
      <c r="K70" s="187" t="s">
        <v>260</v>
      </c>
    </row>
    <row r="71" spans="3:13" s="37" customFormat="1">
      <c r="C71" s="58"/>
      <c r="D71" s="55">
        <f>+MAX($D$5:D70)+1</f>
        <v>56</v>
      </c>
      <c r="E71" s="56" t="s">
        <v>261</v>
      </c>
      <c r="F71" s="29" t="s">
        <v>235</v>
      </c>
      <c r="G71" s="60"/>
      <c r="H71" s="60"/>
      <c r="I71" s="61"/>
      <c r="J71" s="32"/>
      <c r="K71" s="67" t="s">
        <v>262</v>
      </c>
    </row>
    <row r="72" spans="3:13" s="37" customFormat="1">
      <c r="C72" s="58"/>
      <c r="D72" s="179">
        <f>+MAX($D$5:D71)+1</f>
        <v>57</v>
      </c>
      <c r="E72" s="217" t="s">
        <v>263</v>
      </c>
      <c r="F72" s="179" t="s">
        <v>27</v>
      </c>
      <c r="G72" s="60" t="s">
        <v>227</v>
      </c>
      <c r="H72" s="60"/>
      <c r="I72" s="61"/>
      <c r="J72" s="32"/>
      <c r="K72" s="224" t="s">
        <v>190</v>
      </c>
    </row>
    <row r="73" spans="3:13" s="37" customFormat="1">
      <c r="C73" s="58"/>
      <c r="D73" s="179">
        <f>+MAX($D$5:D72)+1</f>
        <v>58</v>
      </c>
      <c r="E73" s="180" t="s">
        <v>264</v>
      </c>
      <c r="F73" s="173" t="s">
        <v>208</v>
      </c>
      <c r="G73" s="181" t="s">
        <v>227</v>
      </c>
      <c r="H73" s="181"/>
      <c r="I73" s="182"/>
      <c r="J73" s="183"/>
      <c r="K73" s="173" t="s">
        <v>265</v>
      </c>
    </row>
    <row r="74" spans="3:13" s="37" customFormat="1" ht="60">
      <c r="C74" s="58"/>
      <c r="D74" s="179">
        <f>+MAX($D$5:D73)+1</f>
        <v>59</v>
      </c>
      <c r="E74" s="217" t="s">
        <v>266</v>
      </c>
      <c r="F74" s="221" t="s">
        <v>208</v>
      </c>
      <c r="G74" s="221" t="s">
        <v>227</v>
      </c>
      <c r="H74" s="221"/>
      <c r="I74" s="222"/>
      <c r="J74" s="183"/>
      <c r="K74" s="187" t="s">
        <v>267</v>
      </c>
      <c r="M74" s="170"/>
    </row>
    <row r="75" spans="3:13" s="37" customFormat="1">
      <c r="C75" s="58"/>
      <c r="D75" s="179">
        <f>+MAX($D$5:D74)+1</f>
        <v>60</v>
      </c>
      <c r="E75" s="217" t="s">
        <v>268</v>
      </c>
      <c r="F75" s="179" t="s">
        <v>27</v>
      </c>
      <c r="G75" s="60" t="s">
        <v>227</v>
      </c>
      <c r="H75" s="60"/>
      <c r="I75" s="61"/>
      <c r="J75" s="32"/>
      <c r="K75" s="224" t="s">
        <v>190</v>
      </c>
    </row>
    <row r="76" spans="3:13" s="37" customFormat="1">
      <c r="C76" s="58"/>
      <c r="D76" s="179">
        <f>+MAX($D$5:D75)+1</f>
        <v>61</v>
      </c>
      <c r="E76" s="217" t="s">
        <v>269</v>
      </c>
      <c r="F76" s="179" t="s">
        <v>208</v>
      </c>
      <c r="G76" s="229"/>
      <c r="H76" s="229"/>
      <c r="I76" s="230"/>
      <c r="J76" s="183"/>
      <c r="K76" s="179" t="s">
        <v>270</v>
      </c>
    </row>
    <row r="77" spans="3:13">
      <c r="C77" s="29"/>
      <c r="D77" s="23" t="s">
        <v>271</v>
      </c>
      <c r="E77" s="24"/>
      <c r="F77" s="24"/>
      <c r="G77" s="24"/>
      <c r="H77" s="24"/>
      <c r="I77" s="25"/>
      <c r="J77" s="32"/>
      <c r="K77" s="24"/>
    </row>
    <row r="78" spans="3:13" s="37" customFormat="1">
      <c r="C78" s="58"/>
      <c r="D78" s="103"/>
      <c r="E78" s="107" t="s">
        <v>272</v>
      </c>
      <c r="F78" s="105"/>
      <c r="G78" s="60"/>
      <c r="H78" s="60"/>
      <c r="I78" s="61"/>
      <c r="J78" s="32"/>
      <c r="K78" s="105"/>
    </row>
    <row r="79" spans="3:13" ht="29.45" customHeight="1">
      <c r="C79" s="66"/>
      <c r="D79" s="179">
        <f>+MAX($D$5:D78)+1</f>
        <v>62</v>
      </c>
      <c r="E79" s="190" t="s">
        <v>273</v>
      </c>
      <c r="F79" s="173" t="s">
        <v>208</v>
      </c>
      <c r="G79" s="173" t="s">
        <v>274</v>
      </c>
      <c r="H79" s="191"/>
      <c r="I79" s="192"/>
      <c r="J79" s="193"/>
      <c r="K79" s="182" t="s">
        <v>275</v>
      </c>
    </row>
    <row r="80" spans="3:13">
      <c r="C80" s="66"/>
      <c r="D80" s="224">
        <f>+MAX($D$5:D79)+1</f>
        <v>63</v>
      </c>
      <c r="E80" s="231" t="s">
        <v>276</v>
      </c>
      <c r="F80" s="226" t="s">
        <v>208</v>
      </c>
      <c r="G80" s="224" t="s">
        <v>274</v>
      </c>
      <c r="H80" s="224"/>
      <c r="I80" s="232"/>
      <c r="J80" s="233"/>
      <c r="K80" s="226" t="s">
        <v>277</v>
      </c>
    </row>
    <row r="81" spans="3:11">
      <c r="C81" s="66"/>
      <c r="D81" s="179">
        <f>+MAX($D$5:D80)+1</f>
        <v>64</v>
      </c>
      <c r="E81" s="215" t="s">
        <v>278</v>
      </c>
      <c r="F81" s="221" t="s">
        <v>208</v>
      </c>
      <c r="G81" s="179" t="s">
        <v>274</v>
      </c>
      <c r="H81" s="234"/>
      <c r="I81" s="187"/>
      <c r="J81" s="193"/>
      <c r="K81" s="226" t="s">
        <v>279</v>
      </c>
    </row>
    <row r="82" spans="3:11">
      <c r="C82" s="66"/>
      <c r="D82" s="55">
        <f>+MAX($D$5:D81)+1</f>
        <v>65</v>
      </c>
      <c r="E82" s="39" t="s">
        <v>280</v>
      </c>
      <c r="F82" s="60" t="s">
        <v>235</v>
      </c>
      <c r="G82" s="29" t="s">
        <v>274</v>
      </c>
      <c r="H82" s="67"/>
      <c r="I82" s="31"/>
      <c r="J82" s="68"/>
      <c r="K82" s="60"/>
    </row>
    <row r="83" spans="3:11" ht="60">
      <c r="C83" s="66"/>
      <c r="D83" s="55">
        <f>+MAX($D$5:D82)+1</f>
        <v>66</v>
      </c>
      <c r="E83" s="39" t="s">
        <v>281</v>
      </c>
      <c r="F83" s="60" t="s">
        <v>235</v>
      </c>
      <c r="G83" s="29" t="s">
        <v>274</v>
      </c>
      <c r="H83" s="67"/>
      <c r="I83" s="31"/>
      <c r="J83" s="68"/>
      <c r="K83" s="172" t="s">
        <v>282</v>
      </c>
    </row>
    <row r="84" spans="3:11">
      <c r="C84" s="66"/>
      <c r="D84" s="179">
        <f>+MAX($D$5:D83)+1</f>
        <v>67</v>
      </c>
      <c r="E84" s="190" t="s">
        <v>283</v>
      </c>
      <c r="F84" s="181" t="s">
        <v>208</v>
      </c>
      <c r="G84" s="173" t="s">
        <v>274</v>
      </c>
      <c r="H84" s="191"/>
      <c r="I84" s="192"/>
      <c r="J84" s="193"/>
      <c r="K84" s="181"/>
    </row>
    <row r="85" spans="3:11">
      <c r="C85" s="66"/>
      <c r="D85" s="179">
        <f>+MAX($D$5:D84)+1</f>
        <v>68</v>
      </c>
      <c r="E85" s="190" t="s">
        <v>284</v>
      </c>
      <c r="F85" s="181" t="s">
        <v>208</v>
      </c>
      <c r="G85" s="173" t="s">
        <v>274</v>
      </c>
      <c r="H85" s="191"/>
      <c r="I85" s="192"/>
      <c r="J85" s="193"/>
      <c r="K85" s="181"/>
    </row>
    <row r="86" spans="3:11">
      <c r="C86" s="22"/>
      <c r="D86" s="23" t="s">
        <v>285</v>
      </c>
      <c r="E86" s="24"/>
      <c r="F86" s="24"/>
      <c r="G86" s="24"/>
      <c r="H86" s="24"/>
      <c r="I86" s="25"/>
      <c r="J86" s="26"/>
      <c r="K86" s="24"/>
    </row>
    <row r="87" spans="3:11" s="37" customFormat="1">
      <c r="C87" s="58"/>
      <c r="D87" s="103"/>
      <c r="E87" s="107" t="s">
        <v>286</v>
      </c>
      <c r="F87" s="105"/>
      <c r="G87" s="60"/>
      <c r="H87" s="60"/>
      <c r="I87" s="61"/>
      <c r="J87" s="32"/>
      <c r="K87" s="105"/>
    </row>
    <row r="88" spans="3:11" s="37" customFormat="1">
      <c r="C88" s="28"/>
      <c r="D88" s="173">
        <f>+MAX($D$5:D86)+1</f>
        <v>69</v>
      </c>
      <c r="E88" s="196" t="s">
        <v>287</v>
      </c>
      <c r="F88" s="173" t="s">
        <v>208</v>
      </c>
      <c r="G88" s="173" t="s">
        <v>288</v>
      </c>
      <c r="H88" s="173"/>
      <c r="I88" s="197"/>
      <c r="J88" s="183"/>
      <c r="K88" s="191" t="s">
        <v>289</v>
      </c>
    </row>
    <row r="89" spans="3:11" s="37" customFormat="1">
      <c r="C89" s="28"/>
      <c r="D89" s="179">
        <f>+MAX($D$5:D88)+1</f>
        <v>70</v>
      </c>
      <c r="E89" s="196" t="s">
        <v>290</v>
      </c>
      <c r="F89" s="173" t="s">
        <v>208</v>
      </c>
      <c r="G89" s="173" t="s">
        <v>288</v>
      </c>
      <c r="H89" s="173"/>
      <c r="I89" s="197"/>
      <c r="J89" s="183"/>
      <c r="K89" s="181"/>
    </row>
    <row r="90" spans="3:11" s="37" customFormat="1">
      <c r="C90" s="28"/>
      <c r="D90" s="179">
        <f>+MAX($D$5:D89)+1</f>
        <v>71</v>
      </c>
      <c r="E90" s="196" t="s">
        <v>291</v>
      </c>
      <c r="F90" s="173" t="s">
        <v>208</v>
      </c>
      <c r="G90" s="173" t="s">
        <v>288</v>
      </c>
      <c r="H90" s="173"/>
      <c r="I90" s="197"/>
      <c r="J90" s="183"/>
      <c r="K90" s="181"/>
    </row>
    <row r="91" spans="3:11" s="37" customFormat="1">
      <c r="C91" s="28"/>
      <c r="D91" s="55">
        <f>+MAX($D$5:D90)+1</f>
        <v>72</v>
      </c>
      <c r="E91" s="54" t="s">
        <v>292</v>
      </c>
      <c r="F91" s="29" t="s">
        <v>35</v>
      </c>
      <c r="G91" s="29" t="s">
        <v>288</v>
      </c>
      <c r="H91" s="29"/>
      <c r="I91" s="70"/>
      <c r="J91" s="32"/>
      <c r="K91" s="29"/>
    </row>
    <row r="92" spans="3:11" s="37" customFormat="1">
      <c r="C92" s="28"/>
      <c r="D92" s="55">
        <f>+MAX($D$5:D91)+1</f>
        <v>73</v>
      </c>
      <c r="E92" s="54" t="s">
        <v>293</v>
      </c>
      <c r="F92" s="29" t="s">
        <v>35</v>
      </c>
      <c r="G92" s="29" t="s">
        <v>288</v>
      </c>
      <c r="H92" s="29"/>
      <c r="I92" s="70"/>
      <c r="J92" s="32"/>
      <c r="K92" s="29"/>
    </row>
    <row r="93" spans="3:11" s="37" customFormat="1">
      <c r="C93" s="28"/>
      <c r="D93" s="179">
        <f>+MAX($D$5:D92)+1</f>
        <v>74</v>
      </c>
      <c r="E93" s="196" t="s">
        <v>294</v>
      </c>
      <c r="F93" s="173" t="s">
        <v>208</v>
      </c>
      <c r="G93" s="173" t="s">
        <v>288</v>
      </c>
      <c r="H93" s="173"/>
      <c r="I93" s="197"/>
      <c r="J93" s="183"/>
      <c r="K93" s="191" t="s">
        <v>295</v>
      </c>
    </row>
    <row r="94" spans="3:11" s="37" customFormat="1">
      <c r="C94" s="28"/>
      <c r="D94" s="55">
        <f>+MAX($D$5:D93)+1</f>
        <v>75</v>
      </c>
      <c r="E94" s="54" t="s">
        <v>296</v>
      </c>
      <c r="F94" s="29" t="s">
        <v>35</v>
      </c>
      <c r="G94" s="29" t="s">
        <v>288</v>
      </c>
      <c r="H94" s="29"/>
      <c r="I94" s="70"/>
      <c r="J94" s="32"/>
      <c r="K94" s="29"/>
    </row>
    <row r="95" spans="3:11" s="37" customFormat="1">
      <c r="C95" s="28"/>
      <c r="D95" s="179">
        <f>+MAX($D$5:D94)+1</f>
        <v>76</v>
      </c>
      <c r="E95" s="196" t="s">
        <v>297</v>
      </c>
      <c r="F95" s="173" t="s">
        <v>208</v>
      </c>
      <c r="G95" s="173" t="s">
        <v>288</v>
      </c>
      <c r="H95" s="173"/>
      <c r="I95" s="197"/>
      <c r="J95" s="183"/>
      <c r="K95" s="181"/>
    </row>
    <row r="96" spans="3:11" s="37" customFormat="1">
      <c r="C96" s="28"/>
      <c r="D96" s="179">
        <f>+MAX($D$5:D95)+1</f>
        <v>77</v>
      </c>
      <c r="E96" s="196" t="s">
        <v>298</v>
      </c>
      <c r="F96" s="173" t="s">
        <v>208</v>
      </c>
      <c r="G96" s="173" t="s">
        <v>288</v>
      </c>
      <c r="H96" s="173"/>
      <c r="I96" s="197"/>
      <c r="J96" s="183"/>
      <c r="K96" s="181"/>
    </row>
    <row r="97" spans="3:11" s="37" customFormat="1">
      <c r="C97" s="28"/>
      <c r="D97" s="179">
        <f>+MAX($D$5:D96)+1</f>
        <v>78</v>
      </c>
      <c r="E97" s="216" t="s">
        <v>299</v>
      </c>
      <c r="F97" s="179" t="s">
        <v>208</v>
      </c>
      <c r="G97" s="179" t="s">
        <v>288</v>
      </c>
      <c r="H97" s="179"/>
      <c r="I97" s="214"/>
      <c r="J97" s="183"/>
      <c r="K97" s="179"/>
    </row>
    <row r="65506" spans="10:10">
      <c r="J65506" s="1" t="s">
        <v>177</v>
      </c>
    </row>
  </sheetData>
  <pageMargins left="0.01" right="0.01" top="0.01" bottom="0.01" header="0" footer="0"/>
  <pageSetup scale="48" orientation="portrait" r:id="rId1"/>
  <headerFooter alignWithMargins="0">
    <oddFooter>&amp;L&amp;Z&amp;F&amp;R&amp;D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395F-A6CA-44D9-9A91-8664BA0A1B98}">
  <sheetPr>
    <tabColor rgb="FFFF9933"/>
    <pageSetUpPr fitToPage="1"/>
  </sheetPr>
  <dimension ref="A1:H78"/>
  <sheetViews>
    <sheetView view="pageBreakPreview" zoomScale="73" zoomScaleNormal="100" zoomScaleSheetLayoutView="115" workbookViewId="0"/>
  </sheetViews>
  <sheetFormatPr defaultColWidth="9.7109375" defaultRowHeight="15"/>
  <cols>
    <col min="1" max="1" width="11.28515625" style="255" customWidth="1"/>
    <col min="2" max="2" width="3.85546875" style="271" customWidth="1"/>
    <col min="3" max="3" width="62.28515625" style="266" customWidth="1"/>
    <col min="4" max="4" width="19.28515625" style="266" customWidth="1"/>
    <col min="5" max="5" width="26.140625" style="266" customWidth="1"/>
    <col min="6" max="6" width="11.7109375" style="255" customWidth="1"/>
    <col min="7" max="7" width="85.42578125" style="255" customWidth="1"/>
    <col min="8" max="8" width="9.7109375" style="254"/>
    <col min="9" max="9" width="9.7109375" style="255"/>
    <col min="10" max="10" width="11.7109375" style="255" customWidth="1"/>
    <col min="11" max="16384" width="9.7109375" style="255"/>
  </cols>
  <sheetData>
    <row r="1" spans="1:8" ht="74.849999999999994" customHeight="1">
      <c r="A1" s="251"/>
      <c r="B1" s="252"/>
      <c r="C1" s="253"/>
      <c r="D1" s="253"/>
      <c r="E1" s="253"/>
      <c r="F1" s="251"/>
      <c r="G1" s="251"/>
    </row>
    <row r="2" spans="1:8" s="257" customFormat="1" ht="27" customHeight="1" thickBot="1">
      <c r="A2" s="321" t="s">
        <v>300</v>
      </c>
      <c r="B2" s="321"/>
      <c r="C2" s="321"/>
      <c r="D2" s="321"/>
      <c r="E2" s="321"/>
      <c r="F2" s="321"/>
      <c r="G2" s="321"/>
      <c r="H2" s="256"/>
    </row>
    <row r="3" spans="1:8" ht="20.25">
      <c r="A3" s="322" t="s">
        <v>301</v>
      </c>
      <c r="B3" s="322"/>
      <c r="C3" s="322"/>
      <c r="D3" s="322"/>
      <c r="E3" s="322"/>
      <c r="F3" s="322"/>
      <c r="G3" s="322"/>
    </row>
    <row r="4" spans="1:8">
      <c r="A4" s="325" t="s">
        <v>302</v>
      </c>
      <c r="B4" s="325"/>
      <c r="C4" s="259"/>
      <c r="D4" s="260" t="s">
        <v>303</v>
      </c>
      <c r="E4" s="259"/>
      <c r="F4" s="258" t="s">
        <v>304</v>
      </c>
      <c r="G4" s="259"/>
    </row>
    <row r="5" spans="1:8">
      <c r="A5" s="325" t="s">
        <v>305</v>
      </c>
      <c r="B5" s="325"/>
      <c r="C5" s="259"/>
      <c r="D5" s="260" t="s">
        <v>306</v>
      </c>
      <c r="E5" s="259"/>
      <c r="F5" s="258" t="s">
        <v>307</v>
      </c>
      <c r="G5" s="259"/>
    </row>
    <row r="6" spans="1:8">
      <c r="A6" s="325" t="s">
        <v>308</v>
      </c>
      <c r="B6" s="325"/>
      <c r="C6" s="259"/>
      <c r="D6" s="259"/>
      <c r="E6" s="259"/>
      <c r="F6" s="258" t="s">
        <v>309</v>
      </c>
      <c r="G6" s="259"/>
    </row>
    <row r="7" spans="1:8" ht="15.75" thickBot="1">
      <c r="A7" s="325" t="s">
        <v>310</v>
      </c>
      <c r="B7" s="325"/>
      <c r="C7" s="259"/>
      <c r="D7" s="259"/>
      <c r="E7" s="259"/>
      <c r="F7" s="261" t="s">
        <v>311</v>
      </c>
      <c r="G7" s="259"/>
    </row>
    <row r="8" spans="1:8" ht="18">
      <c r="A8" s="323" t="s">
        <v>312</v>
      </c>
      <c r="B8" s="324"/>
      <c r="C8" s="262" t="s">
        <v>313</v>
      </c>
      <c r="D8" s="262" t="s">
        <v>19</v>
      </c>
      <c r="E8" s="262" t="s">
        <v>314</v>
      </c>
      <c r="F8" s="263" t="s">
        <v>18</v>
      </c>
      <c r="G8" s="262" t="s">
        <v>315</v>
      </c>
    </row>
    <row r="9" spans="1:8">
      <c r="A9" s="264"/>
      <c r="B9" s="265" t="s">
        <v>316</v>
      </c>
      <c r="C9" s="266" t="s">
        <v>317</v>
      </c>
      <c r="D9" s="267" t="s">
        <v>318</v>
      </c>
      <c r="E9" s="267"/>
      <c r="F9" s="268"/>
      <c r="G9" s="269" t="s">
        <v>319</v>
      </c>
    </row>
    <row r="10" spans="1:8" ht="28.5">
      <c r="A10" s="264"/>
      <c r="B10" s="265" t="s">
        <v>320</v>
      </c>
      <c r="C10" s="266" t="s">
        <v>321</v>
      </c>
      <c r="D10" s="267" t="s">
        <v>322</v>
      </c>
      <c r="E10" s="267"/>
      <c r="F10" s="268"/>
      <c r="G10" s="269"/>
    </row>
    <row r="11" spans="1:8" ht="28.5">
      <c r="A11" s="264"/>
      <c r="B11" s="265" t="s">
        <v>323</v>
      </c>
      <c r="C11" s="266" t="s">
        <v>324</v>
      </c>
      <c r="D11" s="267" t="s">
        <v>318</v>
      </c>
      <c r="E11" s="267" t="s">
        <v>325</v>
      </c>
      <c r="F11" s="268"/>
      <c r="G11" s="269"/>
    </row>
    <row r="12" spans="1:8" ht="28.5">
      <c r="A12" s="264"/>
      <c r="B12" s="265" t="s">
        <v>326</v>
      </c>
      <c r="C12" s="266" t="s">
        <v>327</v>
      </c>
      <c r="D12" s="267" t="s">
        <v>318</v>
      </c>
      <c r="E12" s="267"/>
      <c r="F12" s="268"/>
      <c r="G12" s="269" t="s">
        <v>328</v>
      </c>
    </row>
    <row r="13" spans="1:8">
      <c r="A13" s="264"/>
      <c r="B13" s="265" t="s">
        <v>329</v>
      </c>
      <c r="C13" s="266" t="s">
        <v>330</v>
      </c>
      <c r="D13" s="267" t="s">
        <v>318</v>
      </c>
      <c r="E13" s="267"/>
      <c r="F13" s="268"/>
      <c r="G13" s="269" t="s">
        <v>331</v>
      </c>
    </row>
    <row r="14" spans="1:8" ht="42.75">
      <c r="A14" s="264"/>
      <c r="B14" s="265" t="s">
        <v>332</v>
      </c>
      <c r="C14" s="266" t="s">
        <v>333</v>
      </c>
      <c r="D14" s="267" t="s">
        <v>318</v>
      </c>
      <c r="E14" s="267"/>
      <c r="F14" s="268"/>
      <c r="G14" s="266" t="s">
        <v>334</v>
      </c>
    </row>
    <row r="15" spans="1:8" ht="28.5">
      <c r="A15" s="264"/>
      <c r="B15" s="265" t="s">
        <v>335</v>
      </c>
      <c r="C15" s="266" t="s">
        <v>336</v>
      </c>
      <c r="D15" s="267" t="s">
        <v>318</v>
      </c>
      <c r="E15" s="267" t="s">
        <v>337</v>
      </c>
      <c r="F15" s="268"/>
      <c r="G15" s="269"/>
    </row>
    <row r="16" spans="1:8" ht="28.5">
      <c r="A16" s="264"/>
      <c r="B16" s="265" t="s">
        <v>338</v>
      </c>
      <c r="C16" s="266" t="s">
        <v>339</v>
      </c>
      <c r="D16" s="267" t="s">
        <v>318</v>
      </c>
      <c r="E16" s="267" t="s">
        <v>337</v>
      </c>
      <c r="F16" s="268"/>
      <c r="G16" s="269"/>
    </row>
    <row r="17" spans="1:7" ht="28.5">
      <c r="A17" s="264"/>
      <c r="B17" s="265" t="s">
        <v>340</v>
      </c>
      <c r="C17" s="266" t="s">
        <v>341</v>
      </c>
      <c r="D17" s="267" t="s">
        <v>318</v>
      </c>
      <c r="E17" s="267" t="s">
        <v>337</v>
      </c>
      <c r="F17" s="268"/>
      <c r="G17" s="269" t="s">
        <v>342</v>
      </c>
    </row>
    <row r="18" spans="1:7" ht="28.5">
      <c r="A18" s="264"/>
      <c r="B18" s="265" t="s">
        <v>343</v>
      </c>
      <c r="C18" s="266" t="s">
        <v>344</v>
      </c>
      <c r="D18" s="267" t="s">
        <v>318</v>
      </c>
      <c r="E18" s="267" t="s">
        <v>337</v>
      </c>
      <c r="F18" s="268"/>
      <c r="G18" s="269" t="s">
        <v>345</v>
      </c>
    </row>
    <row r="19" spans="1:7" ht="28.5">
      <c r="A19" s="264"/>
      <c r="B19" s="265" t="s">
        <v>346</v>
      </c>
      <c r="C19" s="266" t="s">
        <v>347</v>
      </c>
      <c r="D19" s="267" t="s">
        <v>318</v>
      </c>
      <c r="E19" s="267" t="s">
        <v>337</v>
      </c>
      <c r="F19" s="268"/>
      <c r="G19" s="269"/>
    </row>
    <row r="20" spans="1:7" ht="28.5">
      <c r="B20" s="265" t="s">
        <v>348</v>
      </c>
      <c r="C20" s="266" t="s">
        <v>349</v>
      </c>
      <c r="D20" s="267" t="s">
        <v>318</v>
      </c>
      <c r="E20" s="267" t="s">
        <v>337</v>
      </c>
      <c r="F20" s="268"/>
      <c r="G20" s="269"/>
    </row>
    <row r="21" spans="1:7" ht="28.5">
      <c r="B21" s="265" t="s">
        <v>350</v>
      </c>
      <c r="C21" s="266" t="s">
        <v>351</v>
      </c>
      <c r="D21" s="267" t="s">
        <v>318</v>
      </c>
      <c r="E21" s="267" t="s">
        <v>337</v>
      </c>
      <c r="F21" s="268"/>
      <c r="G21" s="269"/>
    </row>
    <row r="22" spans="1:7" ht="28.5">
      <c r="B22" s="270" t="s">
        <v>352</v>
      </c>
      <c r="C22" s="266" t="s">
        <v>353</v>
      </c>
      <c r="D22" s="267" t="s">
        <v>318</v>
      </c>
      <c r="E22" s="267" t="s">
        <v>337</v>
      </c>
      <c r="F22" s="268"/>
      <c r="G22" s="269"/>
    </row>
    <row r="23" spans="1:7" ht="15.75" thickBot="1">
      <c r="D23" s="267"/>
      <c r="E23" s="267"/>
      <c r="F23" s="268"/>
    </row>
    <row r="24" spans="1:7" ht="18">
      <c r="A24" s="323" t="s">
        <v>354</v>
      </c>
      <c r="B24" s="324"/>
      <c r="C24" s="262" t="s">
        <v>355</v>
      </c>
      <c r="D24" s="263"/>
      <c r="E24" s="263"/>
      <c r="F24" s="272"/>
      <c r="G24" s="273"/>
    </row>
    <row r="25" spans="1:7">
      <c r="A25" s="264"/>
      <c r="B25" s="265" t="s">
        <v>316</v>
      </c>
      <c r="C25" s="266" t="s">
        <v>356</v>
      </c>
      <c r="D25" s="267" t="s">
        <v>357</v>
      </c>
      <c r="E25" s="267" t="s">
        <v>358</v>
      </c>
      <c r="F25" s="268"/>
      <c r="G25" s="255" t="s">
        <v>359</v>
      </c>
    </row>
    <row r="26" spans="1:7" ht="14.25" customHeight="1">
      <c r="A26" s="264"/>
      <c r="B26" s="265" t="s">
        <v>320</v>
      </c>
      <c r="C26" s="266" t="s">
        <v>360</v>
      </c>
      <c r="D26" s="267" t="s">
        <v>361</v>
      </c>
      <c r="E26" s="267" t="s">
        <v>362</v>
      </c>
      <c r="F26" s="268"/>
      <c r="G26" s="274"/>
    </row>
    <row r="27" spans="1:7">
      <c r="A27" s="264"/>
      <c r="B27" s="265"/>
      <c r="C27" s="275" t="s">
        <v>363</v>
      </c>
      <c r="D27" s="276"/>
      <c r="E27" s="276"/>
      <c r="F27" s="268"/>
    </row>
    <row r="28" spans="1:7">
      <c r="A28" s="264"/>
      <c r="B28" s="265" t="s">
        <v>323</v>
      </c>
      <c r="C28" s="266" t="s">
        <v>364</v>
      </c>
      <c r="D28" s="267" t="s">
        <v>357</v>
      </c>
      <c r="E28" s="267" t="s">
        <v>358</v>
      </c>
      <c r="F28" s="268"/>
    </row>
    <row r="29" spans="1:7" ht="42.75">
      <c r="A29" s="264"/>
      <c r="B29" s="265" t="s">
        <v>326</v>
      </c>
      <c r="C29" s="266" t="s">
        <v>365</v>
      </c>
      <c r="D29" s="267" t="s">
        <v>357</v>
      </c>
      <c r="E29" s="267" t="s">
        <v>358</v>
      </c>
      <c r="F29" s="268"/>
      <c r="G29" s="266" t="s">
        <v>334</v>
      </c>
    </row>
    <row r="30" spans="1:7">
      <c r="A30" s="264"/>
      <c r="B30" s="265" t="s">
        <v>366</v>
      </c>
      <c r="C30" s="266" t="s">
        <v>367</v>
      </c>
      <c r="D30" s="267" t="s">
        <v>357</v>
      </c>
      <c r="E30" s="267" t="s">
        <v>358</v>
      </c>
      <c r="F30" s="268"/>
    </row>
    <row r="31" spans="1:7">
      <c r="A31" s="264"/>
      <c r="B31" s="265" t="s">
        <v>332</v>
      </c>
      <c r="C31" s="266" t="s">
        <v>368</v>
      </c>
      <c r="D31" s="267" t="s">
        <v>357</v>
      </c>
      <c r="E31" s="267" t="s">
        <v>358</v>
      </c>
      <c r="F31" s="268"/>
      <c r="G31" s="255" t="s">
        <v>369</v>
      </c>
    </row>
    <row r="32" spans="1:7" ht="28.5">
      <c r="A32" s="264"/>
      <c r="B32" s="265" t="s">
        <v>335</v>
      </c>
      <c r="C32" s="266" t="s">
        <v>370</v>
      </c>
      <c r="D32" s="267" t="s">
        <v>357</v>
      </c>
      <c r="E32" s="267" t="s">
        <v>371</v>
      </c>
      <c r="F32" s="268"/>
    </row>
    <row r="33" spans="1:7" ht="15.75" thickBot="1">
      <c r="D33" s="267"/>
      <c r="E33" s="267"/>
      <c r="F33" s="268"/>
    </row>
    <row r="34" spans="1:7" ht="18">
      <c r="A34" s="323" t="s">
        <v>372</v>
      </c>
      <c r="B34" s="324"/>
      <c r="C34" s="263" t="s">
        <v>373</v>
      </c>
      <c r="D34" s="263"/>
      <c r="E34" s="263"/>
      <c r="F34" s="272"/>
      <c r="G34" s="273"/>
    </row>
    <row r="35" spans="1:7" ht="28.5">
      <c r="A35" s="264"/>
      <c r="B35" s="265" t="s">
        <v>316</v>
      </c>
      <c r="C35" s="266" t="s">
        <v>374</v>
      </c>
      <c r="D35" s="267" t="s">
        <v>357</v>
      </c>
      <c r="E35" s="267" t="s">
        <v>375</v>
      </c>
      <c r="F35" s="268"/>
      <c r="G35" s="269"/>
    </row>
    <row r="36" spans="1:7">
      <c r="A36" s="264"/>
      <c r="B36" s="265" t="s">
        <v>320</v>
      </c>
      <c r="C36" s="275" t="s">
        <v>376</v>
      </c>
      <c r="D36" s="277" t="s">
        <v>357</v>
      </c>
      <c r="E36" s="276"/>
      <c r="F36" s="268"/>
      <c r="G36" s="269"/>
    </row>
    <row r="37" spans="1:7">
      <c r="A37" s="264"/>
      <c r="B37" s="265" t="s">
        <v>323</v>
      </c>
      <c r="C37" s="275" t="s">
        <v>377</v>
      </c>
      <c r="D37" s="277" t="s">
        <v>357</v>
      </c>
      <c r="E37" s="276"/>
      <c r="F37" s="268"/>
      <c r="G37" s="269"/>
    </row>
    <row r="38" spans="1:7">
      <c r="A38" s="264"/>
      <c r="B38" s="265" t="s">
        <v>378</v>
      </c>
      <c r="C38" s="266" t="s">
        <v>379</v>
      </c>
      <c r="D38" s="277" t="s">
        <v>357</v>
      </c>
      <c r="E38" s="267"/>
      <c r="F38" s="268"/>
      <c r="G38" s="252" t="s">
        <v>380</v>
      </c>
    </row>
    <row r="39" spans="1:7" ht="28.5">
      <c r="A39" s="264"/>
      <c r="B39" s="265" t="s">
        <v>329</v>
      </c>
      <c r="C39" s="266" t="s">
        <v>381</v>
      </c>
      <c r="D39" s="277" t="s">
        <v>357</v>
      </c>
      <c r="E39" s="267"/>
      <c r="F39" s="268"/>
      <c r="G39" s="252" t="s">
        <v>382</v>
      </c>
    </row>
    <row r="40" spans="1:7">
      <c r="A40" s="264"/>
      <c r="B40" s="265" t="s">
        <v>383</v>
      </c>
      <c r="C40" s="266" t="s">
        <v>384</v>
      </c>
      <c r="D40" s="277" t="s">
        <v>357</v>
      </c>
      <c r="E40" s="267"/>
      <c r="F40" s="268"/>
      <c r="G40" s="252" t="s">
        <v>385</v>
      </c>
    </row>
    <row r="41" spans="1:7">
      <c r="A41" s="264"/>
      <c r="B41" s="265" t="s">
        <v>335</v>
      </c>
      <c r="C41" s="266" t="s">
        <v>386</v>
      </c>
      <c r="D41" s="277" t="s">
        <v>357</v>
      </c>
      <c r="E41" s="267"/>
      <c r="F41" s="268"/>
      <c r="G41" s="252" t="s">
        <v>387</v>
      </c>
    </row>
    <row r="42" spans="1:7">
      <c r="B42" s="265" t="s">
        <v>338</v>
      </c>
      <c r="C42" s="266" t="s">
        <v>388</v>
      </c>
      <c r="D42" s="277" t="s">
        <v>357</v>
      </c>
      <c r="E42" s="267"/>
      <c r="F42" s="268"/>
      <c r="G42" s="252"/>
    </row>
    <row r="43" spans="1:7">
      <c r="B43" s="265" t="s">
        <v>340</v>
      </c>
      <c r="C43" s="266" t="s">
        <v>389</v>
      </c>
      <c r="D43" s="277" t="s">
        <v>357</v>
      </c>
      <c r="E43" s="267"/>
      <c r="F43" s="268"/>
      <c r="G43" s="252"/>
    </row>
    <row r="44" spans="1:7" ht="28.5">
      <c r="B44" s="265" t="s">
        <v>343</v>
      </c>
      <c r="C44" s="266" t="s">
        <v>390</v>
      </c>
      <c r="D44" s="277" t="s">
        <v>357</v>
      </c>
      <c r="E44" s="267"/>
      <c r="F44" s="268"/>
      <c r="G44" s="252"/>
    </row>
    <row r="45" spans="1:7">
      <c r="B45" s="265" t="s">
        <v>346</v>
      </c>
      <c r="C45" s="266" t="s">
        <v>391</v>
      </c>
      <c r="D45" s="277" t="s">
        <v>357</v>
      </c>
      <c r="E45" s="267"/>
      <c r="F45" s="268"/>
      <c r="G45" s="252"/>
    </row>
    <row r="46" spans="1:7">
      <c r="B46" s="265" t="s">
        <v>348</v>
      </c>
      <c r="C46" s="266" t="s">
        <v>392</v>
      </c>
      <c r="D46" s="277" t="s">
        <v>357</v>
      </c>
      <c r="E46" s="267"/>
      <c r="F46" s="268"/>
      <c r="G46" s="252"/>
    </row>
    <row r="47" spans="1:7" ht="28.5">
      <c r="B47" s="265" t="s">
        <v>350</v>
      </c>
      <c r="C47" s="266" t="s">
        <v>393</v>
      </c>
      <c r="D47" s="267" t="s">
        <v>361</v>
      </c>
      <c r="E47" s="267"/>
      <c r="F47" s="268"/>
      <c r="G47" s="252"/>
    </row>
    <row r="48" spans="1:7" ht="71.25">
      <c r="B48" s="265" t="s">
        <v>352</v>
      </c>
      <c r="C48" s="266" t="s">
        <v>394</v>
      </c>
      <c r="D48" s="267" t="s">
        <v>322</v>
      </c>
      <c r="E48" s="267" t="s">
        <v>395</v>
      </c>
      <c r="F48" s="268"/>
      <c r="G48" s="266" t="s">
        <v>396</v>
      </c>
    </row>
    <row r="49" spans="1:7" ht="15.75" thickBot="1">
      <c r="D49" s="267"/>
      <c r="E49" s="267"/>
      <c r="F49" s="268"/>
      <c r="G49" s="251"/>
    </row>
    <row r="50" spans="1:7" ht="18">
      <c r="A50" s="323" t="s">
        <v>397</v>
      </c>
      <c r="B50" s="324"/>
      <c r="C50" s="262" t="s">
        <v>398</v>
      </c>
      <c r="D50" s="263"/>
      <c r="E50" s="263"/>
      <c r="F50" s="272"/>
      <c r="G50" s="273"/>
    </row>
    <row r="51" spans="1:7">
      <c r="A51" s="264"/>
      <c r="B51" s="265" t="s">
        <v>316</v>
      </c>
      <c r="C51" s="266" t="s">
        <v>399</v>
      </c>
      <c r="D51" s="267" t="s">
        <v>357</v>
      </c>
      <c r="E51" s="267"/>
      <c r="F51" s="268"/>
    </row>
    <row r="52" spans="1:7" ht="28.5">
      <c r="A52" s="264"/>
      <c r="B52" s="265" t="s">
        <v>320</v>
      </c>
      <c r="C52" s="266" t="s">
        <v>400</v>
      </c>
      <c r="D52" s="267" t="s">
        <v>357</v>
      </c>
      <c r="E52" s="267"/>
      <c r="F52" s="268"/>
      <c r="G52" s="278" t="s">
        <v>401</v>
      </c>
    </row>
    <row r="53" spans="1:7">
      <c r="A53" s="264"/>
      <c r="B53" s="265" t="s">
        <v>402</v>
      </c>
      <c r="C53" s="255" t="s">
        <v>403</v>
      </c>
      <c r="D53" s="267" t="s">
        <v>357</v>
      </c>
      <c r="E53" s="279"/>
      <c r="F53" s="268"/>
    </row>
    <row r="54" spans="1:7">
      <c r="A54" s="264"/>
      <c r="B54" s="265" t="s">
        <v>326</v>
      </c>
      <c r="C54" s="266" t="s">
        <v>404</v>
      </c>
      <c r="D54" s="267" t="s">
        <v>357</v>
      </c>
      <c r="E54" s="267"/>
      <c r="F54" s="268"/>
      <c r="G54" s="255" t="s">
        <v>405</v>
      </c>
    </row>
    <row r="55" spans="1:7">
      <c r="A55" s="264"/>
      <c r="B55" s="265" t="s">
        <v>366</v>
      </c>
      <c r="C55" s="266" t="s">
        <v>406</v>
      </c>
      <c r="D55" s="267" t="s">
        <v>357</v>
      </c>
      <c r="E55" s="267"/>
      <c r="F55" s="268"/>
      <c r="G55" s="255" t="s">
        <v>405</v>
      </c>
    </row>
    <row r="56" spans="1:7" ht="28.5">
      <c r="A56" s="264"/>
      <c r="B56" s="265" t="s">
        <v>332</v>
      </c>
      <c r="C56" s="266" t="s">
        <v>407</v>
      </c>
      <c r="D56" s="267" t="s">
        <v>357</v>
      </c>
      <c r="E56" s="267"/>
      <c r="F56" s="268"/>
    </row>
    <row r="57" spans="1:7">
      <c r="A57" s="264"/>
      <c r="B57" s="265" t="s">
        <v>335</v>
      </c>
      <c r="C57" s="266" t="s">
        <v>408</v>
      </c>
      <c r="D57" s="267" t="s">
        <v>357</v>
      </c>
      <c r="E57" s="267"/>
      <c r="F57" s="268"/>
    </row>
    <row r="58" spans="1:7">
      <c r="A58" s="264"/>
      <c r="B58" s="265" t="s">
        <v>338</v>
      </c>
      <c r="C58" s="255" t="s">
        <v>409</v>
      </c>
      <c r="D58" s="279" t="s">
        <v>361</v>
      </c>
      <c r="E58" s="279"/>
      <c r="F58" s="268"/>
    </row>
    <row r="59" spans="1:7" ht="114">
      <c r="A59" s="264"/>
      <c r="B59" s="265" t="s">
        <v>340</v>
      </c>
      <c r="C59" s="266" t="s">
        <v>410</v>
      </c>
      <c r="D59" s="267" t="s">
        <v>357</v>
      </c>
      <c r="E59" s="267" t="s">
        <v>411</v>
      </c>
      <c r="F59" s="268"/>
      <c r="G59" s="278" t="s">
        <v>412</v>
      </c>
    </row>
    <row r="60" spans="1:7">
      <c r="A60" s="264"/>
      <c r="B60" s="265" t="s">
        <v>343</v>
      </c>
      <c r="C60" s="266" t="s">
        <v>413</v>
      </c>
      <c r="D60" s="267" t="s">
        <v>357</v>
      </c>
      <c r="E60" s="267"/>
      <c r="F60" s="268"/>
      <c r="G60" s="255" t="s">
        <v>414</v>
      </c>
    </row>
    <row r="61" spans="1:7">
      <c r="A61" s="264"/>
      <c r="B61" s="265" t="s">
        <v>346</v>
      </c>
      <c r="C61" s="266" t="s">
        <v>415</v>
      </c>
      <c r="D61" s="267" t="s">
        <v>357</v>
      </c>
      <c r="E61" s="267"/>
      <c r="F61" s="268"/>
      <c r="G61" s="255" t="s">
        <v>416</v>
      </c>
    </row>
    <row r="62" spans="1:7" ht="42.75">
      <c r="A62" s="264"/>
      <c r="B62" s="265" t="s">
        <v>417</v>
      </c>
      <c r="C62" s="266" t="s">
        <v>418</v>
      </c>
      <c r="D62" s="267" t="s">
        <v>357</v>
      </c>
      <c r="E62" s="267" t="s">
        <v>419</v>
      </c>
      <c r="F62" s="268"/>
    </row>
    <row r="63" spans="1:7" ht="28.5">
      <c r="A63" s="264"/>
      <c r="B63" s="265" t="s">
        <v>350</v>
      </c>
      <c r="C63" s="266" t="s">
        <v>420</v>
      </c>
      <c r="D63" s="267" t="s">
        <v>357</v>
      </c>
      <c r="E63" s="267"/>
      <c r="F63" s="268"/>
    </row>
    <row r="64" spans="1:7">
      <c r="A64" s="264"/>
      <c r="B64" s="265" t="s">
        <v>352</v>
      </c>
      <c r="C64" s="266" t="s">
        <v>196</v>
      </c>
      <c r="D64" s="267" t="s">
        <v>357</v>
      </c>
      <c r="E64" s="267"/>
    </row>
    <row r="65" spans="2:7">
      <c r="B65" s="265" t="s">
        <v>421</v>
      </c>
      <c r="C65" s="266" t="s">
        <v>422</v>
      </c>
      <c r="D65" s="267" t="s">
        <v>357</v>
      </c>
      <c r="E65" s="267" t="s">
        <v>423</v>
      </c>
      <c r="F65" s="268"/>
      <c r="G65" s="274"/>
    </row>
    <row r="66" spans="2:7">
      <c r="B66" s="265" t="s">
        <v>424</v>
      </c>
      <c r="C66" s="266" t="s">
        <v>425</v>
      </c>
      <c r="D66" s="267" t="s">
        <v>357</v>
      </c>
      <c r="E66" s="267" t="s">
        <v>423</v>
      </c>
      <c r="F66" s="268"/>
    </row>
    <row r="67" spans="2:7">
      <c r="B67" s="265"/>
      <c r="F67" s="268"/>
    </row>
    <row r="68" spans="2:7">
      <c r="F68" s="268"/>
    </row>
    <row r="69" spans="2:7">
      <c r="F69" s="268"/>
    </row>
    <row r="70" spans="2:7">
      <c r="F70" s="268"/>
    </row>
    <row r="71" spans="2:7">
      <c r="F71" s="268"/>
    </row>
    <row r="72" spans="2:7">
      <c r="F72" s="268"/>
    </row>
    <row r="73" spans="2:7">
      <c r="F73" s="268"/>
    </row>
    <row r="74" spans="2:7">
      <c r="F74" s="268"/>
    </row>
    <row r="75" spans="2:7">
      <c r="F75" s="268"/>
    </row>
    <row r="76" spans="2:7">
      <c r="F76" s="268"/>
    </row>
    <row r="77" spans="2:7">
      <c r="F77" s="268"/>
    </row>
    <row r="78" spans="2:7">
      <c r="F78" s="268"/>
    </row>
  </sheetData>
  <mergeCells count="10">
    <mergeCell ref="A50:B50"/>
    <mergeCell ref="A4:B4"/>
    <mergeCell ref="A5:B5"/>
    <mergeCell ref="A6:B6"/>
    <mergeCell ref="A7:B7"/>
    <mergeCell ref="A2:G2"/>
    <mergeCell ref="A3:G3"/>
    <mergeCell ref="A8:B8"/>
    <mergeCell ref="A24:B24"/>
    <mergeCell ref="A34:B34"/>
  </mergeCells>
  <printOptions horizontalCentered="1"/>
  <pageMargins left="0.25" right="0.25" top="0.25" bottom="0.75" header="0.3" footer="0.3"/>
  <pageSetup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F8EB0-E97F-495B-8F5D-13C08306864A}">
  <dimension ref="E3:Y65"/>
  <sheetViews>
    <sheetView topLeftCell="C1" zoomScale="70" zoomScaleNormal="70" workbookViewId="0"/>
  </sheetViews>
  <sheetFormatPr defaultColWidth="9.140625" defaultRowHeight="15"/>
  <cols>
    <col min="1" max="4" width="9.140625" style="37"/>
    <col min="5" max="5" width="8.7109375" style="37" customWidth="1"/>
    <col min="6" max="6" width="145" style="37" bestFit="1" customWidth="1"/>
    <col min="7" max="10" width="10.7109375" style="37" customWidth="1"/>
    <col min="11" max="11" width="57.140625" style="37" bestFit="1" customWidth="1"/>
    <col min="12" max="16384" width="9.140625" style="37"/>
  </cols>
  <sheetData>
    <row r="3" spans="5:25" ht="18.75">
      <c r="E3" s="295" t="s">
        <v>426</v>
      </c>
    </row>
    <row r="5" spans="5:25">
      <c r="E5" s="292" t="s">
        <v>427</v>
      </c>
      <c r="F5" s="293"/>
      <c r="G5" s="293"/>
      <c r="H5" s="293"/>
      <c r="I5" s="293"/>
      <c r="J5" s="293"/>
      <c r="K5" s="293"/>
      <c r="M5" s="304" t="s">
        <v>428</v>
      </c>
    </row>
    <row r="6" spans="5:25">
      <c r="E6" s="287" t="s">
        <v>429</v>
      </c>
      <c r="Y6" s="304" t="s">
        <v>430</v>
      </c>
    </row>
    <row r="7" spans="5:25">
      <c r="E7" s="207">
        <v>1</v>
      </c>
      <c r="F7" s="207" t="s">
        <v>431</v>
      </c>
      <c r="G7" s="207" t="s">
        <v>27</v>
      </c>
      <c r="H7" s="207" t="s">
        <v>44</v>
      </c>
      <c r="I7" s="207"/>
      <c r="J7" s="209"/>
      <c r="K7" s="296" t="s">
        <v>432</v>
      </c>
      <c r="M7" s="37" t="s">
        <v>433</v>
      </c>
    </row>
    <row r="8" spans="5:25">
      <c r="E8" s="281">
        <f>+MAX($E7:E$7)+1</f>
        <v>2</v>
      </c>
      <c r="F8" s="282" t="s">
        <v>434</v>
      </c>
      <c r="G8" s="281" t="s">
        <v>35</v>
      </c>
      <c r="H8" s="281" t="s">
        <v>44</v>
      </c>
      <c r="I8" s="282"/>
      <c r="J8" s="283"/>
      <c r="K8" s="284" t="s">
        <v>435</v>
      </c>
      <c r="M8" s="37" t="s">
        <v>436</v>
      </c>
    </row>
    <row r="9" spans="5:25">
      <c r="E9" s="281">
        <f>+MAX($E$7:E8)+1</f>
        <v>3</v>
      </c>
      <c r="F9" s="282" t="s">
        <v>437</v>
      </c>
      <c r="G9" s="281" t="s">
        <v>35</v>
      </c>
      <c r="H9" s="281" t="s">
        <v>44</v>
      </c>
      <c r="I9" s="282"/>
      <c r="J9" s="283"/>
      <c r="K9" s="284"/>
      <c r="M9" s="37" t="s">
        <v>438</v>
      </c>
    </row>
    <row r="10" spans="5:25">
      <c r="E10" s="281">
        <f>+MAX($E$7:E9)+1</f>
        <v>4</v>
      </c>
      <c r="F10" s="281" t="s">
        <v>439</v>
      </c>
      <c r="G10" s="281" t="s">
        <v>35</v>
      </c>
      <c r="H10" s="281" t="s">
        <v>44</v>
      </c>
      <c r="I10" s="281"/>
      <c r="J10" s="285"/>
      <c r="K10" s="286"/>
      <c r="M10" s="37" t="s">
        <v>440</v>
      </c>
    </row>
    <row r="11" spans="5:25">
      <c r="E11" s="288"/>
      <c r="F11" s="288"/>
      <c r="G11" s="288"/>
      <c r="H11" s="288"/>
      <c r="I11" s="288"/>
      <c r="J11" s="289"/>
      <c r="K11" s="290"/>
      <c r="M11" s="37" t="s">
        <v>441</v>
      </c>
    </row>
    <row r="12" spans="5:25">
      <c r="E12" s="291" t="s">
        <v>442</v>
      </c>
      <c r="F12" s="288"/>
      <c r="G12" s="288"/>
      <c r="H12" s="288"/>
      <c r="I12" s="288"/>
      <c r="J12" s="289"/>
      <c r="K12" s="290"/>
      <c r="M12" s="37" t="s">
        <v>443</v>
      </c>
    </row>
    <row r="13" spans="5:25">
      <c r="E13" s="281">
        <f>+MAX($E$7:E10)+1</f>
        <v>5</v>
      </c>
      <c r="F13" s="281" t="s">
        <v>444</v>
      </c>
      <c r="G13" s="281" t="s">
        <v>35</v>
      </c>
      <c r="H13" s="281" t="s">
        <v>44</v>
      </c>
      <c r="I13" s="281"/>
      <c r="J13" s="285"/>
      <c r="K13" s="286"/>
      <c r="M13" s="37" t="s">
        <v>445</v>
      </c>
    </row>
    <row r="14" spans="5:25">
      <c r="E14" s="281">
        <f>+MAX($E$7:E13)+1</f>
        <v>6</v>
      </c>
      <c r="F14" s="282" t="s">
        <v>446</v>
      </c>
      <c r="G14" s="281" t="s">
        <v>35</v>
      </c>
      <c r="H14" s="281" t="s">
        <v>44</v>
      </c>
      <c r="I14" s="282"/>
      <c r="J14" s="283"/>
      <c r="K14" s="284"/>
    </row>
    <row r="15" spans="5:25">
      <c r="E15" s="281">
        <f>+MAX($E$7:E14)+1</f>
        <v>7</v>
      </c>
      <c r="F15" s="282" t="s">
        <v>437</v>
      </c>
      <c r="G15" s="281" t="s">
        <v>35</v>
      </c>
      <c r="H15" s="281" t="s">
        <v>44</v>
      </c>
      <c r="I15" s="282"/>
      <c r="J15" s="283"/>
      <c r="K15" s="284"/>
    </row>
    <row r="16" spans="5:25">
      <c r="E16" s="281">
        <f>+MAX($E$7:E15)+1</f>
        <v>8</v>
      </c>
      <c r="F16" s="282" t="s">
        <v>447</v>
      </c>
      <c r="G16" s="281" t="s">
        <v>35</v>
      </c>
      <c r="H16" s="281" t="s">
        <v>44</v>
      </c>
      <c r="I16" s="282"/>
      <c r="J16" s="283"/>
      <c r="K16" s="284"/>
    </row>
    <row r="17" spans="5:11">
      <c r="E17" s="281">
        <f>+MAX($E$7:E16)+1</f>
        <v>9</v>
      </c>
      <c r="F17" s="282" t="s">
        <v>448</v>
      </c>
      <c r="G17" s="281" t="s">
        <v>35</v>
      </c>
      <c r="H17" s="281" t="s">
        <v>44</v>
      </c>
      <c r="I17" s="282"/>
      <c r="J17" s="283"/>
      <c r="K17" s="284"/>
    </row>
    <row r="18" spans="5:11">
      <c r="E18" s="281">
        <f>+MAX($E$7:E17)+1</f>
        <v>10</v>
      </c>
      <c r="F18" s="282" t="s">
        <v>449</v>
      </c>
      <c r="G18" s="281" t="s">
        <v>35</v>
      </c>
      <c r="H18" s="281" t="s">
        <v>44</v>
      </c>
      <c r="I18" s="282"/>
      <c r="J18" s="283"/>
      <c r="K18" s="284"/>
    </row>
    <row r="20" spans="5:11">
      <c r="E20" s="291" t="s">
        <v>450</v>
      </c>
      <c r="F20" s="288"/>
      <c r="G20" s="288"/>
      <c r="H20" s="288"/>
      <c r="I20" s="288"/>
      <c r="J20" s="289"/>
      <c r="K20" s="290"/>
    </row>
    <row r="21" spans="5:11">
      <c r="E21" s="281">
        <f>+MAX($E$7:E18)+1</f>
        <v>11</v>
      </c>
      <c r="F21" s="281" t="s">
        <v>444</v>
      </c>
      <c r="G21" s="281" t="s">
        <v>35</v>
      </c>
      <c r="H21" s="281" t="s">
        <v>44</v>
      </c>
      <c r="I21" s="281"/>
      <c r="J21" s="285"/>
      <c r="K21" s="286"/>
    </row>
    <row r="22" spans="5:11">
      <c r="E22" s="281">
        <f>+MAX($E$7:E21)+1</f>
        <v>12</v>
      </c>
      <c r="F22" s="282" t="s">
        <v>446</v>
      </c>
      <c r="G22" s="281" t="s">
        <v>35</v>
      </c>
      <c r="H22" s="281" t="s">
        <v>44</v>
      </c>
      <c r="I22" s="282"/>
      <c r="J22" s="283"/>
      <c r="K22" s="284"/>
    </row>
    <row r="23" spans="5:11">
      <c r="E23" s="281">
        <f>+MAX($E$7:E22)+1</f>
        <v>13</v>
      </c>
      <c r="F23" s="282" t="s">
        <v>437</v>
      </c>
      <c r="G23" s="281" t="s">
        <v>35</v>
      </c>
      <c r="H23" s="281" t="s">
        <v>44</v>
      </c>
      <c r="I23" s="282"/>
      <c r="J23" s="283"/>
      <c r="K23" s="284"/>
    </row>
    <row r="24" spans="5:11">
      <c r="E24" s="281">
        <f>+MAX($E$7:E23)+1</f>
        <v>14</v>
      </c>
      <c r="F24" s="282" t="s">
        <v>447</v>
      </c>
      <c r="G24" s="281" t="s">
        <v>35</v>
      </c>
      <c r="H24" s="281" t="s">
        <v>44</v>
      </c>
      <c r="I24" s="282"/>
      <c r="J24" s="283"/>
      <c r="K24" s="297" t="s">
        <v>451</v>
      </c>
    </row>
    <row r="26" spans="5:11">
      <c r="E26" s="291" t="s">
        <v>452</v>
      </c>
      <c r="F26" s="288"/>
      <c r="G26" s="288"/>
      <c r="H26" s="288"/>
      <c r="I26" s="288"/>
      <c r="J26" s="289"/>
      <c r="K26" s="290"/>
    </row>
    <row r="27" spans="5:11">
      <c r="E27" s="281">
        <f>+MAX($E$7:E24)+1</f>
        <v>15</v>
      </c>
      <c r="F27" s="281" t="s">
        <v>453</v>
      </c>
      <c r="G27" s="281" t="s">
        <v>35</v>
      </c>
      <c r="H27" s="281" t="s">
        <v>44</v>
      </c>
      <c r="I27" s="281"/>
      <c r="J27" s="285"/>
      <c r="K27" s="286"/>
    </row>
    <row r="28" spans="5:11">
      <c r="E28" s="281">
        <f>+MAX($E$7:E27)+1</f>
        <v>16</v>
      </c>
      <c r="F28" s="282" t="s">
        <v>437</v>
      </c>
      <c r="G28" s="281" t="s">
        <v>35</v>
      </c>
      <c r="H28" s="281" t="s">
        <v>44</v>
      </c>
      <c r="I28" s="282"/>
      <c r="J28" s="283"/>
      <c r="K28" s="284"/>
    </row>
    <row r="29" spans="5:11">
      <c r="E29" s="281">
        <f>+MAX($E$7:E28)+1</f>
        <v>17</v>
      </c>
      <c r="F29" s="282" t="s">
        <v>439</v>
      </c>
      <c r="G29" s="281" t="s">
        <v>35</v>
      </c>
      <c r="H29" s="281" t="s">
        <v>44</v>
      </c>
      <c r="I29" s="282"/>
      <c r="J29" s="283"/>
      <c r="K29" s="284"/>
    </row>
    <row r="31" spans="5:11">
      <c r="E31" s="292" t="s">
        <v>454</v>
      </c>
      <c r="F31" s="293"/>
      <c r="G31" s="293"/>
      <c r="H31" s="293"/>
      <c r="I31" s="293"/>
      <c r="J31" s="293"/>
      <c r="K31" s="293"/>
    </row>
    <row r="32" spans="5:11">
      <c r="E32" s="287" t="s">
        <v>455</v>
      </c>
    </row>
    <row r="33" spans="5:11">
      <c r="E33" s="207">
        <f>+MAX($E$7:E32)+1</f>
        <v>18</v>
      </c>
      <c r="F33" s="207" t="s">
        <v>456</v>
      </c>
      <c r="G33" s="207" t="s">
        <v>27</v>
      </c>
      <c r="H33" s="207" t="s">
        <v>44</v>
      </c>
      <c r="I33" s="207"/>
      <c r="J33" s="209"/>
      <c r="K33" s="296" t="s">
        <v>457</v>
      </c>
    </row>
    <row r="34" spans="5:11">
      <c r="E34" s="207">
        <f>+MAX($E$7:E33)+1</f>
        <v>19</v>
      </c>
      <c r="F34" s="298" t="s">
        <v>458</v>
      </c>
      <c r="G34" s="207" t="s">
        <v>27</v>
      </c>
      <c r="H34" s="207" t="s">
        <v>44</v>
      </c>
      <c r="I34" s="298"/>
      <c r="J34" s="299"/>
      <c r="K34" s="300" t="s">
        <v>459</v>
      </c>
    </row>
    <row r="35" spans="5:11">
      <c r="E35" s="281">
        <f>+MAX($E$7:E34)+1</f>
        <v>20</v>
      </c>
      <c r="F35" s="282" t="s">
        <v>460</v>
      </c>
      <c r="G35" s="281" t="s">
        <v>35</v>
      </c>
      <c r="H35" s="281" t="s">
        <v>44</v>
      </c>
      <c r="I35" s="282"/>
      <c r="J35" s="283"/>
      <c r="K35" s="284"/>
    </row>
    <row r="36" spans="5:11">
      <c r="E36" s="207">
        <f>+MAX($E$7:E35)+1</f>
        <v>21</v>
      </c>
      <c r="F36" s="207" t="s">
        <v>461</v>
      </c>
      <c r="G36" s="207" t="s">
        <v>27</v>
      </c>
      <c r="H36" s="207" t="s">
        <v>44</v>
      </c>
      <c r="I36" s="207"/>
      <c r="J36" s="209"/>
      <c r="K36" s="296" t="s">
        <v>462</v>
      </c>
    </row>
    <row r="37" spans="5:11">
      <c r="E37" s="281">
        <f>+MAX($E$7:E36)+1</f>
        <v>22</v>
      </c>
      <c r="F37" s="281" t="s">
        <v>463</v>
      </c>
      <c r="G37" s="281" t="s">
        <v>35</v>
      </c>
      <c r="H37" s="281" t="s">
        <v>44</v>
      </c>
      <c r="I37" s="281"/>
      <c r="J37" s="285"/>
      <c r="K37" s="286"/>
    </row>
    <row r="38" spans="5:11">
      <c r="E38" s="207">
        <f>+MAX($E$7:E37)+1</f>
        <v>23</v>
      </c>
      <c r="F38" s="207" t="s">
        <v>464</v>
      </c>
      <c r="G38" s="207" t="s">
        <v>27</v>
      </c>
      <c r="H38" s="207" t="s">
        <v>44</v>
      </c>
      <c r="I38" s="207"/>
      <c r="J38" s="209"/>
      <c r="K38" s="296" t="s">
        <v>462</v>
      </c>
    </row>
    <row r="39" spans="5:11">
      <c r="E39" s="281">
        <f>+MAX($E$7:E38)+1</f>
        <v>24</v>
      </c>
      <c r="F39" s="281" t="s">
        <v>465</v>
      </c>
      <c r="G39" s="281" t="s">
        <v>35</v>
      </c>
      <c r="H39" s="281" t="s">
        <v>44</v>
      </c>
      <c r="I39" s="281"/>
      <c r="J39" s="285"/>
      <c r="K39" s="286"/>
    </row>
    <row r="40" spans="5:11">
      <c r="E40" s="281">
        <f>+MAX($E$7:E39)+1</f>
        <v>25</v>
      </c>
      <c r="F40" s="281" t="s">
        <v>466</v>
      </c>
      <c r="G40" s="281" t="s">
        <v>35</v>
      </c>
      <c r="H40" s="281" t="s">
        <v>44</v>
      </c>
      <c r="I40" s="281"/>
      <c r="J40" s="285"/>
      <c r="K40" s="286"/>
    </row>
    <row r="41" spans="5:11">
      <c r="E41" s="281">
        <f>+MAX($E$7:E40)+1</f>
        <v>26</v>
      </c>
      <c r="F41" s="281" t="s">
        <v>467</v>
      </c>
      <c r="G41" s="281" t="s">
        <v>35</v>
      </c>
      <c r="H41" s="281" t="s">
        <v>44</v>
      </c>
      <c r="I41" s="281"/>
      <c r="J41" s="285"/>
      <c r="K41" s="286"/>
    </row>
    <row r="42" spans="5:11">
      <c r="E42" s="207">
        <f>+MAX($E$7:E41)+1</f>
        <v>27</v>
      </c>
      <c r="F42" s="207" t="s">
        <v>468</v>
      </c>
      <c r="G42" s="207" t="s">
        <v>27</v>
      </c>
      <c r="H42" s="207" t="s">
        <v>44</v>
      </c>
      <c r="I42" s="207"/>
      <c r="J42" s="209"/>
      <c r="K42" s="296" t="s">
        <v>469</v>
      </c>
    </row>
    <row r="44" spans="5:11">
      <c r="E44" s="292" t="s">
        <v>470</v>
      </c>
      <c r="F44" s="293"/>
      <c r="G44" s="293"/>
      <c r="H44" s="293"/>
      <c r="I44" s="293"/>
      <c r="J44" s="293"/>
      <c r="K44" s="293"/>
    </row>
    <row r="45" spans="5:11">
      <c r="E45" s="287" t="s">
        <v>471</v>
      </c>
    </row>
    <row r="46" spans="5:11">
      <c r="E46" s="281">
        <f>+MAX($E$7:E45)+1</f>
        <v>28</v>
      </c>
      <c r="F46" s="281" t="s">
        <v>472</v>
      </c>
      <c r="G46" s="281" t="s">
        <v>35</v>
      </c>
      <c r="H46" s="281" t="s">
        <v>44</v>
      </c>
      <c r="I46" s="281"/>
      <c r="J46" s="285"/>
      <c r="K46" s="286" t="s">
        <v>473</v>
      </c>
    </row>
    <row r="47" spans="5:11">
      <c r="E47" s="281">
        <f>+MAX($E$7:E46)+1</f>
        <v>29</v>
      </c>
      <c r="F47" s="282" t="s">
        <v>474</v>
      </c>
      <c r="G47" s="281" t="s">
        <v>35</v>
      </c>
      <c r="H47" s="281" t="s">
        <v>44</v>
      </c>
      <c r="I47" s="282" t="s">
        <v>475</v>
      </c>
      <c r="J47" s="283"/>
      <c r="K47" s="284"/>
    </row>
    <row r="48" spans="5:11">
      <c r="E48" s="281">
        <f>+MAX($E$7:E47)+1</f>
        <v>30</v>
      </c>
      <c r="F48" s="282" t="s">
        <v>476</v>
      </c>
      <c r="G48" s="281" t="s">
        <v>35</v>
      </c>
      <c r="H48" s="281" t="s">
        <v>44</v>
      </c>
      <c r="I48" s="282"/>
      <c r="J48" s="283"/>
      <c r="K48" s="284"/>
    </row>
    <row r="49" spans="5:11">
      <c r="E49" s="281">
        <f>+MAX($E$7:E48)+1</f>
        <v>31</v>
      </c>
      <c r="F49" s="281" t="s">
        <v>477</v>
      </c>
      <c r="G49" s="281" t="s">
        <v>35</v>
      </c>
      <c r="H49" s="281" t="s">
        <v>44</v>
      </c>
      <c r="I49" s="281"/>
      <c r="J49" s="285"/>
      <c r="K49" s="286" t="s">
        <v>478</v>
      </c>
    </row>
    <row r="50" spans="5:11">
      <c r="E50" s="281">
        <f>+MAX($E$7:E49)+1</f>
        <v>32</v>
      </c>
      <c r="F50" s="281" t="s">
        <v>479</v>
      </c>
      <c r="G50" s="281" t="s">
        <v>35</v>
      </c>
      <c r="H50" s="281" t="s">
        <v>44</v>
      </c>
      <c r="I50" s="281" t="s">
        <v>475</v>
      </c>
      <c r="J50" s="285"/>
      <c r="K50" s="286"/>
    </row>
    <row r="51" spans="5:11">
      <c r="E51" s="281">
        <f>+MAX($E$7:E50)+1</f>
        <v>33</v>
      </c>
      <c r="F51" s="281" t="s">
        <v>480</v>
      </c>
      <c r="G51" s="281" t="s">
        <v>35</v>
      </c>
      <c r="H51" s="281" t="s">
        <v>44</v>
      </c>
      <c r="I51" s="281"/>
      <c r="J51" s="285"/>
      <c r="K51" s="286" t="s">
        <v>481</v>
      </c>
    </row>
    <row r="52" spans="5:11">
      <c r="E52" s="281">
        <f>+MAX($E$7:E51)+1</f>
        <v>34</v>
      </c>
      <c r="F52" s="281" t="s">
        <v>482</v>
      </c>
      <c r="G52" s="281" t="s">
        <v>35</v>
      </c>
      <c r="H52" s="281" t="s">
        <v>44</v>
      </c>
      <c r="I52" s="281" t="s">
        <v>475</v>
      </c>
      <c r="J52" s="285"/>
      <c r="K52" s="286"/>
    </row>
    <row r="53" spans="5:11">
      <c r="E53" s="281">
        <f>+MAX($E$7:E52)+1</f>
        <v>35</v>
      </c>
      <c r="F53" s="281" t="s">
        <v>483</v>
      </c>
      <c r="G53" s="281" t="s">
        <v>35</v>
      </c>
      <c r="H53" s="281" t="s">
        <v>44</v>
      </c>
      <c r="I53" s="281"/>
      <c r="J53" s="285"/>
      <c r="K53" s="286"/>
    </row>
    <row r="54" spans="5:11" ht="45">
      <c r="E54" s="281">
        <f>+MAX($E$7:E53)+1</f>
        <v>36</v>
      </c>
      <c r="F54" s="294" t="s">
        <v>484</v>
      </c>
      <c r="G54" s="281" t="s">
        <v>35</v>
      </c>
      <c r="H54" s="281" t="s">
        <v>44</v>
      </c>
      <c r="I54" s="281"/>
      <c r="J54" s="285"/>
      <c r="K54" s="286"/>
    </row>
    <row r="55" spans="5:11">
      <c r="E55" s="281">
        <f>+MAX($E$7:E54)+1</f>
        <v>37</v>
      </c>
      <c r="F55" s="281" t="s">
        <v>485</v>
      </c>
      <c r="G55" s="281" t="s">
        <v>35</v>
      </c>
      <c r="H55" s="281" t="s">
        <v>44</v>
      </c>
      <c r="I55" s="281"/>
      <c r="J55" s="285"/>
      <c r="K55" s="286"/>
    </row>
    <row r="56" spans="5:11">
      <c r="E56" s="281">
        <f>+MAX($E$7:E55)+1</f>
        <v>38</v>
      </c>
      <c r="F56" s="281" t="s">
        <v>486</v>
      </c>
      <c r="G56" s="281" t="s">
        <v>35</v>
      </c>
      <c r="H56" s="281" t="s">
        <v>44</v>
      </c>
      <c r="I56" s="281"/>
      <c r="J56" s="285"/>
      <c r="K56" s="286"/>
    </row>
    <row r="57" spans="5:11">
      <c r="E57" s="281">
        <f>+MAX($E$7:E56)+1</f>
        <v>39</v>
      </c>
      <c r="F57" s="281" t="s">
        <v>487</v>
      </c>
      <c r="G57" s="281" t="s">
        <v>35</v>
      </c>
      <c r="H57" s="281" t="s">
        <v>44</v>
      </c>
      <c r="I57" s="281"/>
      <c r="J57" s="285"/>
      <c r="K57" s="286"/>
    </row>
    <row r="58" spans="5:11">
      <c r="E58" s="281">
        <f>+MAX($E$7:E57)+1</f>
        <v>40</v>
      </c>
      <c r="F58" s="281" t="s">
        <v>488</v>
      </c>
      <c r="G58" s="281" t="s">
        <v>35</v>
      </c>
      <c r="H58" s="281" t="s">
        <v>44</v>
      </c>
      <c r="I58" s="281"/>
      <c r="J58" s="285"/>
      <c r="K58" s="286"/>
    </row>
    <row r="59" spans="5:11">
      <c r="E59" s="281">
        <f>+MAX($E$7:E58)+1</f>
        <v>41</v>
      </c>
      <c r="F59" s="281" t="s">
        <v>489</v>
      </c>
      <c r="G59" s="281" t="s">
        <v>35</v>
      </c>
      <c r="H59" s="281" t="s">
        <v>44</v>
      </c>
      <c r="I59" s="281"/>
      <c r="J59" s="285"/>
      <c r="K59" s="286"/>
    </row>
    <row r="61" spans="5:11">
      <c r="E61" s="292" t="s">
        <v>490</v>
      </c>
      <c r="F61" s="293"/>
      <c r="G61" s="293"/>
      <c r="H61" s="293"/>
      <c r="I61" s="293"/>
      <c r="J61" s="293"/>
      <c r="K61" s="293"/>
    </row>
    <row r="62" spans="5:11">
      <c r="E62" s="287" t="s">
        <v>491</v>
      </c>
    </row>
    <row r="63" spans="5:11">
      <c r="E63" s="281">
        <f>+MAX($E$7:E62)+1</f>
        <v>42</v>
      </c>
      <c r="F63" s="281" t="s">
        <v>492</v>
      </c>
      <c r="G63" s="281" t="s">
        <v>35</v>
      </c>
      <c r="H63" s="281" t="s">
        <v>44</v>
      </c>
      <c r="I63" s="281"/>
      <c r="J63" s="285"/>
      <c r="K63" s="286"/>
    </row>
    <row r="64" spans="5:11">
      <c r="E64" s="281">
        <f>+MAX($E$7:E63)+1</f>
        <v>43</v>
      </c>
      <c r="F64" s="282" t="s">
        <v>493</v>
      </c>
      <c r="G64" s="281" t="s">
        <v>35</v>
      </c>
      <c r="H64" s="281" t="s">
        <v>44</v>
      </c>
      <c r="I64" s="282"/>
      <c r="J64" s="283"/>
      <c r="K64" s="284"/>
    </row>
    <row r="65" spans="5:11">
      <c r="E65" s="281">
        <f>+MAX($E$7:E64)+1</f>
        <v>44</v>
      </c>
      <c r="F65" s="282" t="s">
        <v>494</v>
      </c>
      <c r="G65" s="281" t="s">
        <v>35</v>
      </c>
      <c r="H65" s="281" t="s">
        <v>44</v>
      </c>
      <c r="I65" s="282"/>
      <c r="J65" s="283"/>
      <c r="K65" s="284"/>
    </row>
  </sheetData>
  <conditionalFormatting sqref="E7:K18">
    <cfRule type="expression" dxfId="7" priority="2">
      <formula>$F7="Closed"</formula>
    </cfRule>
  </conditionalFormatting>
  <conditionalFormatting sqref="E20:K24">
    <cfRule type="expression" dxfId="6" priority="4">
      <formula>$F20="Closed"</formula>
    </cfRule>
  </conditionalFormatting>
  <conditionalFormatting sqref="E26:K29">
    <cfRule type="expression" dxfId="5" priority="5">
      <formula>$F26="Closed"</formula>
    </cfRule>
  </conditionalFormatting>
  <conditionalFormatting sqref="E33:K42">
    <cfRule type="expression" dxfId="4" priority="1">
      <formula>$F33="Closed"</formula>
    </cfRule>
  </conditionalFormatting>
  <conditionalFormatting sqref="E46:K59">
    <cfRule type="expression" dxfId="3" priority="8">
      <formula>$F46="Closed"</formula>
    </cfRule>
  </conditionalFormatting>
  <conditionalFormatting sqref="E63:K65">
    <cfRule type="expression" dxfId="2" priority="7">
      <formula>$F63="Closed"</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8C72-2A0E-430C-8FFF-80D5316E2EF0}">
  <dimension ref="B2:D24"/>
  <sheetViews>
    <sheetView showGridLines="0" zoomScaleNormal="100" zoomScaleSheetLayoutView="91" workbookViewId="0"/>
  </sheetViews>
  <sheetFormatPr defaultColWidth="9.140625" defaultRowHeight="15"/>
  <cols>
    <col min="1" max="1" width="1.85546875" style="71" customWidth="1"/>
    <col min="2" max="2" width="34.140625" style="71" bestFit="1" customWidth="1"/>
    <col min="3" max="3" width="19.85546875" style="71" bestFit="1" customWidth="1"/>
    <col min="4" max="4" width="27.85546875" style="71" bestFit="1" customWidth="1"/>
    <col min="5" max="16384" width="9.140625" style="71"/>
  </cols>
  <sheetData>
    <row r="2" spans="2:4" ht="15" customHeight="1">
      <c r="B2" s="204" t="s">
        <v>495</v>
      </c>
      <c r="C2" s="204" t="s">
        <v>496</v>
      </c>
      <c r="D2" s="205" t="s">
        <v>497</v>
      </c>
    </row>
    <row r="3" spans="2:4" ht="15" customHeight="1">
      <c r="B3" s="71" t="s">
        <v>498</v>
      </c>
      <c r="C3" s="71" t="s">
        <v>499</v>
      </c>
      <c r="D3" s="71" t="s">
        <v>500</v>
      </c>
    </row>
    <row r="4" spans="2:4" ht="15" customHeight="1">
      <c r="B4" s="206" t="s">
        <v>498</v>
      </c>
      <c r="C4" s="206" t="s">
        <v>499</v>
      </c>
      <c r="D4" s="206" t="s">
        <v>501</v>
      </c>
    </row>
    <row r="5" spans="2:4" ht="15" customHeight="1">
      <c r="B5" s="206" t="s">
        <v>498</v>
      </c>
      <c r="C5" s="206" t="s">
        <v>499</v>
      </c>
      <c r="D5" s="206" t="s">
        <v>502</v>
      </c>
    </row>
    <row r="6" spans="2:4" ht="15" customHeight="1">
      <c r="B6" s="206" t="s">
        <v>498</v>
      </c>
      <c r="C6" s="206" t="s">
        <v>499</v>
      </c>
      <c r="D6" s="206" t="s">
        <v>503</v>
      </c>
    </row>
    <row r="7" spans="2:4" ht="15" customHeight="1">
      <c r="B7" s="206" t="s">
        <v>498</v>
      </c>
      <c r="C7" s="206" t="s">
        <v>504</v>
      </c>
      <c r="D7" s="206" t="s">
        <v>505</v>
      </c>
    </row>
    <row r="8" spans="2:4" ht="15" customHeight="1">
      <c r="B8" s="206" t="s">
        <v>498</v>
      </c>
      <c r="C8" s="206" t="s">
        <v>504</v>
      </c>
      <c r="D8" s="206" t="s">
        <v>318</v>
      </c>
    </row>
    <row r="9" spans="2:4" ht="15" customHeight="1">
      <c r="B9" s="206" t="s">
        <v>506</v>
      </c>
      <c r="C9" s="206" t="s">
        <v>507</v>
      </c>
      <c r="D9" s="206" t="s">
        <v>508</v>
      </c>
    </row>
    <row r="10" spans="2:4" ht="15" customHeight="1">
      <c r="B10" s="206" t="s">
        <v>509</v>
      </c>
      <c r="C10" s="206" t="s">
        <v>510</v>
      </c>
      <c r="D10" s="206" t="s">
        <v>511</v>
      </c>
    </row>
    <row r="11" spans="2:4" ht="15" customHeight="1">
      <c r="B11" s="206" t="s">
        <v>512</v>
      </c>
      <c r="C11" s="206" t="s">
        <v>513</v>
      </c>
      <c r="D11" s="206" t="s">
        <v>514</v>
      </c>
    </row>
    <row r="12" spans="2:4" ht="15" customHeight="1">
      <c r="B12" s="206" t="s">
        <v>515</v>
      </c>
      <c r="C12" s="206" t="s">
        <v>516</v>
      </c>
      <c r="D12" s="206" t="s">
        <v>45</v>
      </c>
    </row>
    <row r="13" spans="2:4" ht="15" customHeight="1">
      <c r="B13" s="206" t="s">
        <v>517</v>
      </c>
      <c r="C13" s="206" t="s">
        <v>45</v>
      </c>
      <c r="D13" s="206" t="s">
        <v>45</v>
      </c>
    </row>
    <row r="14" spans="2:4" ht="15" customHeight="1">
      <c r="B14" s="206" t="s">
        <v>518</v>
      </c>
      <c r="C14" s="206" t="s">
        <v>45</v>
      </c>
      <c r="D14" s="206" t="s">
        <v>45</v>
      </c>
    </row>
    <row r="15" spans="2:4" ht="15" customHeight="1">
      <c r="B15" s="206" t="s">
        <v>519</v>
      </c>
      <c r="C15" s="206" t="s">
        <v>45</v>
      </c>
      <c r="D15" s="206" t="s">
        <v>45</v>
      </c>
    </row>
    <row r="16" spans="2:4" ht="15" customHeight="1">
      <c r="B16" s="206" t="s">
        <v>520</v>
      </c>
      <c r="C16" s="206" t="s">
        <v>521</v>
      </c>
      <c r="D16" s="206" t="s">
        <v>522</v>
      </c>
    </row>
    <row r="17" spans="2:4" ht="15" customHeight="1">
      <c r="B17" s="206" t="s">
        <v>523</v>
      </c>
      <c r="C17" s="206" t="s">
        <v>524</v>
      </c>
      <c r="D17" s="206" t="s">
        <v>525</v>
      </c>
    </row>
    <row r="18" spans="2:4" ht="15" customHeight="1">
      <c r="B18" s="206" t="s">
        <v>523</v>
      </c>
      <c r="C18" s="206" t="s">
        <v>475</v>
      </c>
      <c r="D18" s="206" t="s">
        <v>526</v>
      </c>
    </row>
    <row r="19" spans="2:4" ht="15" customHeight="1">
      <c r="B19" s="206" t="s">
        <v>523</v>
      </c>
      <c r="C19" s="206" t="s">
        <v>527</v>
      </c>
      <c r="D19" s="206" t="s">
        <v>528</v>
      </c>
    </row>
    <row r="20" spans="2:4" ht="15" customHeight="1">
      <c r="B20" s="206" t="s">
        <v>523</v>
      </c>
      <c r="C20" s="206" t="s">
        <v>529</v>
      </c>
      <c r="D20" s="206" t="s">
        <v>530</v>
      </c>
    </row>
    <row r="21" spans="2:4" ht="15" customHeight="1">
      <c r="B21" s="206" t="s">
        <v>523</v>
      </c>
      <c r="C21" s="206" t="s">
        <v>531</v>
      </c>
      <c r="D21" s="206" t="s">
        <v>532</v>
      </c>
    </row>
    <row r="22" spans="2:4" ht="15" customHeight="1">
      <c r="B22" s="206" t="s">
        <v>523</v>
      </c>
      <c r="C22" s="206" t="s">
        <v>533</v>
      </c>
      <c r="D22" s="206" t="s">
        <v>534</v>
      </c>
    </row>
    <row r="23" spans="2:4" ht="15" customHeight="1">
      <c r="B23" s="206" t="s">
        <v>535</v>
      </c>
      <c r="C23" s="206" t="s">
        <v>536</v>
      </c>
      <c r="D23" s="206" t="s">
        <v>537</v>
      </c>
    </row>
    <row r="24" spans="2:4" ht="15" customHeight="1">
      <c r="B24" s="206" t="s">
        <v>523</v>
      </c>
      <c r="C24" s="206" t="s">
        <v>538</v>
      </c>
      <c r="D24" s="206" t="s">
        <v>539</v>
      </c>
    </row>
  </sheetData>
  <conditionalFormatting sqref="B2:D2">
    <cfRule type="cellIs" dxfId="1" priority="1" stopIfTrue="1" operator="notEqual">
      <formula>0.6545646468</formula>
    </cfRule>
  </conditionalFormatting>
  <pageMargins left="0.7" right="0.7" top="0.75" bottom="0.75" header="0.3" footer="0.3"/>
  <pageSetup scale="8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964C-C556-4912-93E3-B65F7EB99181}">
  <dimension ref="B2:Z31"/>
  <sheetViews>
    <sheetView showGridLines="0" view="pageBreakPreview" zoomScale="69" zoomScaleNormal="71" zoomScaleSheetLayoutView="66" workbookViewId="0">
      <pane xSplit="4" ySplit="4" topLeftCell="E12" activePane="bottomRight" state="frozen"/>
      <selection pane="bottomRight" activeCell="J21" sqref="J21"/>
      <selection pane="bottomLeft" activeCell="A7" sqref="A7"/>
      <selection pane="topRight" activeCell="E1" sqref="E1"/>
    </sheetView>
  </sheetViews>
  <sheetFormatPr defaultColWidth="9.140625" defaultRowHeight="15" outlineLevelCol="1"/>
  <cols>
    <col min="1" max="2" width="1.85546875" style="71" customWidth="1"/>
    <col min="3" max="3" width="19.5703125" style="71" customWidth="1"/>
    <col min="4" max="4" width="47.5703125" style="71" customWidth="1"/>
    <col min="5" max="5" width="25.140625" style="71" customWidth="1"/>
    <col min="6" max="6" width="12.85546875" style="71" bestFit="1" customWidth="1"/>
    <col min="7" max="7" width="9.42578125" style="74" customWidth="1"/>
    <col min="8" max="8" width="12.85546875" style="71" bestFit="1" customWidth="1"/>
    <col min="9" max="9" width="13" style="71" hidden="1" customWidth="1" outlineLevel="1"/>
    <col min="10" max="10" width="13" style="71" bestFit="1" customWidth="1" collapsed="1"/>
    <col min="11" max="11" width="13" style="71" bestFit="1" customWidth="1"/>
    <col min="12" max="12" width="13" style="71" customWidth="1"/>
    <col min="13" max="14" width="0.85546875" customWidth="1"/>
    <col min="15" max="15" width="13.140625" style="71" bestFit="1" customWidth="1"/>
    <col min="16" max="18" width="11.85546875" style="71" bestFit="1" customWidth="1"/>
    <col min="19" max="19" width="13.5703125" style="71" bestFit="1" customWidth="1"/>
    <col min="20" max="20" width="14" style="71" bestFit="1" customWidth="1"/>
    <col min="21" max="24" width="11.85546875" style="71" bestFit="1" customWidth="1"/>
    <col min="25" max="25" width="1.85546875" style="71" customWidth="1"/>
    <col min="26" max="26" width="9.42578125" style="71" bestFit="1" customWidth="1"/>
    <col min="27" max="16384" width="9.140625" style="71"/>
  </cols>
  <sheetData>
    <row r="2" spans="2:26" ht="26.25">
      <c r="B2" s="126" t="s">
        <v>540</v>
      </c>
      <c r="C2" s="126"/>
      <c r="O2" s="248"/>
    </row>
    <row r="3" spans="2:26">
      <c r="O3" s="128"/>
    </row>
    <row r="4" spans="2:26" s="129" customFormat="1" ht="31.5">
      <c r="C4" s="149" t="s">
        <v>541</v>
      </c>
      <c r="D4" s="149" t="s">
        <v>542</v>
      </c>
      <c r="E4" s="149" t="s">
        <v>543</v>
      </c>
      <c r="F4" s="149" t="s">
        <v>544</v>
      </c>
      <c r="G4" s="149" t="s">
        <v>545</v>
      </c>
      <c r="H4" s="149" t="s">
        <v>546</v>
      </c>
      <c r="I4" s="155" t="s">
        <v>547</v>
      </c>
      <c r="J4" s="203" t="s">
        <v>548</v>
      </c>
      <c r="K4" s="149" t="s">
        <v>549</v>
      </c>
      <c r="L4" s="149" t="s">
        <v>550</v>
      </c>
      <c r="M4" s="156"/>
      <c r="N4" s="157"/>
      <c r="O4" s="150">
        <v>46013</v>
      </c>
      <c r="P4" s="150">
        <f>+EOMONTH(O4,1)</f>
        <v>46053</v>
      </c>
      <c r="Q4" s="150">
        <f>+EOMONTH(P4,1)</f>
        <v>46081</v>
      </c>
      <c r="R4" s="150">
        <f t="shared" ref="R4:X4" si="0">+EOMONTH(Q4,1)</f>
        <v>46112</v>
      </c>
      <c r="S4" s="150">
        <f>+EOMONTH(R4,1)</f>
        <v>46142</v>
      </c>
      <c r="T4" s="150">
        <f t="shared" si="0"/>
        <v>46173</v>
      </c>
      <c r="U4" s="150">
        <f t="shared" si="0"/>
        <v>46203</v>
      </c>
      <c r="V4" s="150">
        <f t="shared" si="0"/>
        <v>46234</v>
      </c>
      <c r="W4" s="150">
        <f t="shared" si="0"/>
        <v>46265</v>
      </c>
      <c r="X4" s="150">
        <f t="shared" si="0"/>
        <v>46295</v>
      </c>
      <c r="Z4" s="158" t="s">
        <v>551</v>
      </c>
    </row>
    <row r="5" spans="2:26" s="130" customFormat="1" ht="28.7" customHeight="1">
      <c r="C5" s="147" t="s">
        <v>552</v>
      </c>
      <c r="D5" s="131" t="s">
        <v>553</v>
      </c>
      <c r="E5" s="131" t="s">
        <v>506</v>
      </c>
      <c r="F5" s="132">
        <v>46013</v>
      </c>
      <c r="G5" s="133">
        <v>0</v>
      </c>
      <c r="H5" s="134">
        <f t="shared" ref="H5:H20" si="1">+F5+G5</f>
        <v>46013</v>
      </c>
      <c r="I5" s="135">
        <v>1E-4</v>
      </c>
      <c r="J5" s="135">
        <v>1E-4</v>
      </c>
      <c r="K5" s="135">
        <v>1E-4</v>
      </c>
      <c r="L5" s="152">
        <f t="shared" ref="L5:L21" si="2">+J5-K5</f>
        <v>0</v>
      </c>
      <c r="M5"/>
      <c r="N5" s="154"/>
      <c r="O5" s="136">
        <f t="shared" ref="O5:X5" si="3">+IF(AND(O$4&gt;=$F5,O$4&lt;=$H5),$J5,0)</f>
        <v>1E-4</v>
      </c>
      <c r="P5" s="136">
        <f t="shared" si="3"/>
        <v>0</v>
      </c>
      <c r="Q5" s="136">
        <f t="shared" si="3"/>
        <v>0</v>
      </c>
      <c r="R5" s="136">
        <f t="shared" si="3"/>
        <v>0</v>
      </c>
      <c r="S5" s="136">
        <f t="shared" si="3"/>
        <v>0</v>
      </c>
      <c r="T5" s="136">
        <f t="shared" si="3"/>
        <v>0</v>
      </c>
      <c r="U5" s="136">
        <f t="shared" si="3"/>
        <v>0</v>
      </c>
      <c r="V5" s="136">
        <f t="shared" si="3"/>
        <v>0</v>
      </c>
      <c r="W5" s="136">
        <f t="shared" si="3"/>
        <v>0</v>
      </c>
      <c r="X5" s="136">
        <f t="shared" si="3"/>
        <v>0</v>
      </c>
      <c r="Z5" s="159">
        <f t="shared" ref="Z5:Z27" si="4">+SUM(O5:X5)-J5</f>
        <v>0</v>
      </c>
    </row>
    <row r="6" spans="2:26" s="130" customFormat="1" ht="30.95" customHeight="1">
      <c r="C6" s="148" t="s">
        <v>552</v>
      </c>
      <c r="D6" s="137" t="s">
        <v>554</v>
      </c>
      <c r="E6" s="137" t="s">
        <v>498</v>
      </c>
      <c r="F6" s="138">
        <f>+$H$5</f>
        <v>46013</v>
      </c>
      <c r="G6" s="139">
        <v>40</v>
      </c>
      <c r="H6" s="140">
        <f t="shared" si="1"/>
        <v>46053</v>
      </c>
      <c r="I6" s="141">
        <v>7500</v>
      </c>
      <c r="J6" s="141">
        <v>7500</v>
      </c>
      <c r="K6" s="141">
        <v>0</v>
      </c>
      <c r="L6" s="153">
        <f t="shared" si="2"/>
        <v>7500</v>
      </c>
      <c r="M6"/>
      <c r="N6" s="154"/>
      <c r="O6" s="136">
        <v>0</v>
      </c>
      <c r="P6" s="136">
        <v>0</v>
      </c>
      <c r="Q6" s="136">
        <v>0</v>
      </c>
      <c r="R6" s="136">
        <v>0</v>
      </c>
      <c r="S6" s="136">
        <v>0</v>
      </c>
      <c r="T6" s="136">
        <f>+$J6</f>
        <v>7500</v>
      </c>
      <c r="U6" s="136">
        <v>0</v>
      </c>
      <c r="V6" s="136">
        <v>0</v>
      </c>
      <c r="W6" s="136">
        <v>0</v>
      </c>
      <c r="X6" s="136">
        <v>0</v>
      </c>
      <c r="Z6" s="159">
        <f t="shared" si="4"/>
        <v>0</v>
      </c>
    </row>
    <row r="7" spans="2:26" s="130" customFormat="1" ht="30.95" customHeight="1">
      <c r="C7" s="148" t="s">
        <v>552</v>
      </c>
      <c r="D7" s="137" t="s">
        <v>555</v>
      </c>
      <c r="E7" s="137" t="s">
        <v>556</v>
      </c>
      <c r="F7" s="140">
        <f>+$H$5</f>
        <v>46013</v>
      </c>
      <c r="G7" s="139">
        <v>40</v>
      </c>
      <c r="H7" s="140">
        <f>+F7+G7</f>
        <v>46053</v>
      </c>
      <c r="I7" s="141">
        <v>10000</v>
      </c>
      <c r="J7" s="141">
        <v>10000</v>
      </c>
      <c r="K7" s="141">
        <v>0</v>
      </c>
      <c r="L7" s="153">
        <f>+J7-K7</f>
        <v>10000</v>
      </c>
      <c r="M7"/>
      <c r="N7" s="154"/>
      <c r="O7" s="136">
        <v>0</v>
      </c>
      <c r="P7" s="136">
        <v>0</v>
      </c>
      <c r="Q7" s="136">
        <v>0</v>
      </c>
      <c r="R7" s="136">
        <v>0</v>
      </c>
      <c r="S7" s="136">
        <v>0</v>
      </c>
      <c r="T7" s="136">
        <f>+$J7</f>
        <v>10000</v>
      </c>
      <c r="U7" s="136">
        <v>0</v>
      </c>
      <c r="V7" s="136">
        <v>0</v>
      </c>
      <c r="W7" s="136">
        <v>0</v>
      </c>
      <c r="X7" s="136">
        <v>0</v>
      </c>
      <c r="Z7" s="159">
        <f>+SUM(O7:X7)-J7</f>
        <v>0</v>
      </c>
    </row>
    <row r="8" spans="2:26" s="130" customFormat="1" ht="30.95" customHeight="1">
      <c r="C8" s="148" t="s">
        <v>552</v>
      </c>
      <c r="D8" s="137" t="s">
        <v>557</v>
      </c>
      <c r="E8" s="137" t="s">
        <v>558</v>
      </c>
      <c r="F8" s="140">
        <f>+$H$5</f>
        <v>46013</v>
      </c>
      <c r="G8" s="139">
        <v>40</v>
      </c>
      <c r="H8" s="140">
        <f>+F8+G8</f>
        <v>46053</v>
      </c>
      <c r="I8" s="141">
        <v>2500</v>
      </c>
      <c r="J8" s="141">
        <v>2500</v>
      </c>
      <c r="K8" s="141">
        <v>0</v>
      </c>
      <c r="L8" s="153">
        <f>+J8-K8</f>
        <v>2500</v>
      </c>
      <c r="M8"/>
      <c r="N8" s="154"/>
      <c r="O8" s="136">
        <v>0</v>
      </c>
      <c r="P8" s="136">
        <v>0</v>
      </c>
      <c r="Q8" s="136">
        <v>0</v>
      </c>
      <c r="R8" s="136">
        <v>0</v>
      </c>
      <c r="S8" s="136">
        <v>0</v>
      </c>
      <c r="T8" s="136">
        <f>+$J8</f>
        <v>2500</v>
      </c>
      <c r="U8" s="136">
        <v>0</v>
      </c>
      <c r="V8" s="136">
        <v>0</v>
      </c>
      <c r="W8" s="136">
        <v>0</v>
      </c>
      <c r="X8" s="136">
        <v>0</v>
      </c>
      <c r="Z8" s="159">
        <f>+SUM(O8:X8)-J8</f>
        <v>0</v>
      </c>
    </row>
    <row r="9" spans="2:26" s="130" customFormat="1" ht="30.95" customHeight="1">
      <c r="C9" s="148" t="s">
        <v>559</v>
      </c>
      <c r="D9" s="137" t="s">
        <v>560</v>
      </c>
      <c r="E9" s="137" t="s">
        <v>561</v>
      </c>
      <c r="F9" s="140">
        <f>+$H$6</f>
        <v>46053</v>
      </c>
      <c r="G9" s="139">
        <f>60+60</f>
        <v>120</v>
      </c>
      <c r="H9" s="140">
        <f>+F9+G9</f>
        <v>46173</v>
      </c>
      <c r="I9" s="141">
        <v>35000</v>
      </c>
      <c r="J9" s="141">
        <v>35000</v>
      </c>
      <c r="K9" s="141">
        <v>0</v>
      </c>
      <c r="L9" s="153">
        <f>+J9-K9</f>
        <v>35000</v>
      </c>
      <c r="M9"/>
      <c r="N9" s="154"/>
      <c r="O9" s="136">
        <f>+IF(AND(O$4&gt;=$F9,O$4&lt;=$H9),$J9,0)</f>
        <v>0</v>
      </c>
      <c r="P9" s="136">
        <v>0</v>
      </c>
      <c r="Q9" s="136">
        <v>0</v>
      </c>
      <c r="R9" s="136">
        <v>0</v>
      </c>
      <c r="S9" s="136">
        <v>0</v>
      </c>
      <c r="T9" s="136">
        <f t="shared" ref="T9:T13" si="5">+$J9</f>
        <v>35000</v>
      </c>
      <c r="U9" s="136">
        <v>0</v>
      </c>
      <c r="V9" s="136">
        <v>0</v>
      </c>
      <c r="W9" s="136">
        <v>0</v>
      </c>
      <c r="X9" s="136">
        <v>0</v>
      </c>
      <c r="Z9" s="159">
        <f>+SUM(O9:X9)-J9</f>
        <v>0</v>
      </c>
    </row>
    <row r="10" spans="2:26" s="130" customFormat="1" ht="30.95" customHeight="1">
      <c r="C10" s="148" t="s">
        <v>552</v>
      </c>
      <c r="D10" s="137" t="s">
        <v>562</v>
      </c>
      <c r="E10" s="137" t="s">
        <v>556</v>
      </c>
      <c r="F10" s="140">
        <f>+$H$5</f>
        <v>46013</v>
      </c>
      <c r="G10" s="139">
        <v>40</v>
      </c>
      <c r="H10" s="140">
        <f>+F10+G10</f>
        <v>46053</v>
      </c>
      <c r="I10" s="141">
        <v>12500</v>
      </c>
      <c r="J10" s="141">
        <v>12500</v>
      </c>
      <c r="K10" s="141">
        <v>0</v>
      </c>
      <c r="L10" s="153">
        <f t="shared" si="2"/>
        <v>12500</v>
      </c>
      <c r="M10"/>
      <c r="N10" s="154"/>
      <c r="O10" s="136">
        <v>0</v>
      </c>
      <c r="P10" s="136">
        <v>0</v>
      </c>
      <c r="Q10" s="136">
        <v>0</v>
      </c>
      <c r="R10" s="136">
        <v>0</v>
      </c>
      <c r="S10" s="136">
        <v>0</v>
      </c>
      <c r="T10" s="136">
        <f t="shared" si="5"/>
        <v>12500</v>
      </c>
      <c r="U10" s="136">
        <v>0</v>
      </c>
      <c r="V10" s="136">
        <v>0</v>
      </c>
      <c r="W10" s="136">
        <v>0</v>
      </c>
      <c r="X10" s="136">
        <v>0</v>
      </c>
      <c r="Z10" s="159">
        <f t="shared" si="4"/>
        <v>0</v>
      </c>
    </row>
    <row r="11" spans="2:26" s="130" customFormat="1" ht="30.95" customHeight="1">
      <c r="C11" s="148" t="s">
        <v>563</v>
      </c>
      <c r="D11" s="137" t="s">
        <v>564</v>
      </c>
      <c r="E11" s="137" t="s">
        <v>565</v>
      </c>
      <c r="F11" s="140">
        <f t="shared" ref="F11:F19" si="6">+$H$6+1</f>
        <v>46054</v>
      </c>
      <c r="G11" s="139">
        <v>60</v>
      </c>
      <c r="H11" s="140">
        <f t="shared" ref="H11" si="7">+F11+G11</f>
        <v>46114</v>
      </c>
      <c r="I11" s="141">
        <v>5000</v>
      </c>
      <c r="J11" s="141">
        <v>0</v>
      </c>
      <c r="K11" s="141">
        <v>0</v>
      </c>
      <c r="L11" s="153">
        <f t="shared" ref="L11:L18" si="8">+J11-K11</f>
        <v>0</v>
      </c>
      <c r="M11"/>
      <c r="N11" s="154"/>
      <c r="O11" s="136">
        <v>0</v>
      </c>
      <c r="P11" s="136">
        <v>0</v>
      </c>
      <c r="Q11" s="136">
        <v>0</v>
      </c>
      <c r="R11" s="136">
        <v>0</v>
      </c>
      <c r="S11" s="136">
        <v>0</v>
      </c>
      <c r="T11" s="136">
        <f t="shared" si="5"/>
        <v>0</v>
      </c>
      <c r="U11" s="136">
        <v>0</v>
      </c>
      <c r="V11" s="136">
        <v>0</v>
      </c>
      <c r="W11" s="136">
        <v>0</v>
      </c>
      <c r="X11" s="136">
        <v>0</v>
      </c>
      <c r="Z11" s="159">
        <f t="shared" ref="Z11:Z17" si="9">+SUM(O11:X11)-J11</f>
        <v>0</v>
      </c>
    </row>
    <row r="12" spans="2:26" s="130" customFormat="1" ht="30.95" customHeight="1">
      <c r="C12" s="148" t="s">
        <v>563</v>
      </c>
      <c r="D12" s="137" t="s">
        <v>566</v>
      </c>
      <c r="E12" s="137" t="s">
        <v>565</v>
      </c>
      <c r="F12" s="140">
        <f t="shared" si="6"/>
        <v>46054</v>
      </c>
      <c r="G12" s="139">
        <v>60</v>
      </c>
      <c r="H12" s="140">
        <f t="shared" ref="H12:H18" si="10">+F12+G12</f>
        <v>46114</v>
      </c>
      <c r="I12" s="141">
        <v>5000</v>
      </c>
      <c r="J12" s="141">
        <v>5000</v>
      </c>
      <c r="K12" s="141">
        <v>0</v>
      </c>
      <c r="L12" s="153">
        <f t="shared" ref="L12" si="11">+J12-K12</f>
        <v>5000</v>
      </c>
      <c r="M12"/>
      <c r="N12" s="154"/>
      <c r="O12" s="136">
        <v>0</v>
      </c>
      <c r="P12" s="136">
        <v>0</v>
      </c>
      <c r="Q12" s="136">
        <v>0</v>
      </c>
      <c r="R12" s="136">
        <v>0</v>
      </c>
      <c r="S12" s="136">
        <v>0</v>
      </c>
      <c r="T12" s="136">
        <f t="shared" si="5"/>
        <v>5000</v>
      </c>
      <c r="U12" s="136">
        <v>0</v>
      </c>
      <c r="V12" s="136">
        <v>0</v>
      </c>
      <c r="W12" s="136">
        <v>0</v>
      </c>
      <c r="X12" s="136">
        <v>0</v>
      </c>
      <c r="Z12" s="159">
        <f t="shared" si="9"/>
        <v>0</v>
      </c>
    </row>
    <row r="13" spans="2:26" s="130" customFormat="1" ht="30.95" customHeight="1">
      <c r="C13" s="148" t="s">
        <v>563</v>
      </c>
      <c r="D13" s="137" t="s">
        <v>567</v>
      </c>
      <c r="E13" s="137" t="s">
        <v>565</v>
      </c>
      <c r="F13" s="140">
        <f t="shared" si="6"/>
        <v>46054</v>
      </c>
      <c r="G13" s="139">
        <v>60</v>
      </c>
      <c r="H13" s="140">
        <f t="shared" si="10"/>
        <v>46114</v>
      </c>
      <c r="I13" s="141">
        <v>45000</v>
      </c>
      <c r="J13" s="141">
        <v>40000</v>
      </c>
      <c r="K13" s="141">
        <v>0</v>
      </c>
      <c r="L13" s="153">
        <f t="shared" si="8"/>
        <v>40000</v>
      </c>
      <c r="M13"/>
      <c r="N13" s="154"/>
      <c r="O13" s="136">
        <v>0</v>
      </c>
      <c r="P13" s="136">
        <v>0</v>
      </c>
      <c r="Q13" s="136">
        <v>0</v>
      </c>
      <c r="R13" s="136">
        <v>0</v>
      </c>
      <c r="S13" s="136">
        <v>0</v>
      </c>
      <c r="T13" s="136">
        <f t="shared" si="5"/>
        <v>40000</v>
      </c>
      <c r="U13" s="136">
        <v>0</v>
      </c>
      <c r="V13" s="136">
        <v>0</v>
      </c>
      <c r="W13" s="136">
        <v>0</v>
      </c>
      <c r="X13" s="136">
        <v>0</v>
      </c>
      <c r="Z13" s="159">
        <f t="shared" si="9"/>
        <v>0</v>
      </c>
    </row>
    <row r="14" spans="2:26" s="130" customFormat="1" ht="30.95" customHeight="1">
      <c r="C14" s="148" t="s">
        <v>563</v>
      </c>
      <c r="D14" s="137" t="s">
        <v>568</v>
      </c>
      <c r="E14" s="137" t="s">
        <v>565</v>
      </c>
      <c r="F14" s="140">
        <f>+$H$6+1</f>
        <v>46054</v>
      </c>
      <c r="G14" s="139">
        <v>60</v>
      </c>
      <c r="H14" s="140">
        <f t="shared" si="10"/>
        <v>46114</v>
      </c>
      <c r="I14" s="141">
        <f>60000</f>
        <v>60000</v>
      </c>
      <c r="J14" s="141">
        <v>8050</v>
      </c>
      <c r="K14" s="141">
        <v>0</v>
      </c>
      <c r="L14" s="153">
        <f t="shared" si="8"/>
        <v>8050</v>
      </c>
      <c r="M14"/>
      <c r="N14" s="154"/>
      <c r="O14" s="136">
        <v>0</v>
      </c>
      <c r="P14" s="136">
        <v>0</v>
      </c>
      <c r="Q14" s="136">
        <v>0</v>
      </c>
      <c r="R14" s="136">
        <f>+$J14*0.75</f>
        <v>6037.5</v>
      </c>
      <c r="S14" s="136">
        <f>+$J14*0.25</f>
        <v>2012.5</v>
      </c>
      <c r="T14" s="136">
        <v>0</v>
      </c>
      <c r="U14" s="136">
        <v>0</v>
      </c>
      <c r="V14" s="136">
        <v>0</v>
      </c>
      <c r="W14" s="136">
        <v>0</v>
      </c>
      <c r="X14" s="136">
        <v>0</v>
      </c>
      <c r="Z14" s="159">
        <f t="shared" si="9"/>
        <v>0</v>
      </c>
    </row>
    <row r="15" spans="2:26" s="130" customFormat="1" ht="30.95" customHeight="1">
      <c r="C15" s="148" t="s">
        <v>563</v>
      </c>
      <c r="D15" s="137" t="s">
        <v>569</v>
      </c>
      <c r="E15" s="137" t="s">
        <v>565</v>
      </c>
      <c r="F15" s="140">
        <f t="shared" si="6"/>
        <v>46054</v>
      </c>
      <c r="G15" s="139">
        <v>60</v>
      </c>
      <c r="H15" s="140">
        <f t="shared" si="10"/>
        <v>46114</v>
      </c>
      <c r="I15" s="141">
        <f>60000</f>
        <v>60000</v>
      </c>
      <c r="J15" s="141">
        <v>13200</v>
      </c>
      <c r="K15" s="141">
        <v>0</v>
      </c>
      <c r="L15" s="153">
        <f t="shared" si="8"/>
        <v>13200</v>
      </c>
      <c r="M15"/>
      <c r="N15" s="154"/>
      <c r="O15" s="136">
        <v>0</v>
      </c>
      <c r="P15" s="136">
        <v>0</v>
      </c>
      <c r="Q15" s="136">
        <v>0</v>
      </c>
      <c r="R15" s="136">
        <f>+$J15*0.75</f>
        <v>9900</v>
      </c>
      <c r="S15" s="136">
        <f>+$J15*0.25</f>
        <v>3300</v>
      </c>
      <c r="T15" s="136">
        <v>0</v>
      </c>
      <c r="U15" s="136">
        <v>0</v>
      </c>
      <c r="V15" s="136">
        <v>0</v>
      </c>
      <c r="W15" s="136">
        <v>0</v>
      </c>
      <c r="X15" s="136">
        <v>0</v>
      </c>
      <c r="Z15" s="159">
        <f t="shared" si="9"/>
        <v>0</v>
      </c>
    </row>
    <row r="16" spans="2:26" s="130" customFormat="1" ht="30.95" customHeight="1">
      <c r="C16" s="148" t="s">
        <v>563</v>
      </c>
      <c r="D16" s="137" t="s">
        <v>570</v>
      </c>
      <c r="E16" s="137" t="s">
        <v>565</v>
      </c>
      <c r="F16" s="140">
        <f t="shared" si="6"/>
        <v>46054</v>
      </c>
      <c r="G16" s="139">
        <v>60</v>
      </c>
      <c r="H16" s="140">
        <f t="shared" si="10"/>
        <v>46114</v>
      </c>
      <c r="I16" s="141">
        <v>5000</v>
      </c>
      <c r="J16" s="141">
        <v>0</v>
      </c>
      <c r="K16" s="141">
        <v>0</v>
      </c>
      <c r="L16" s="153">
        <f t="shared" ref="L16" si="12">+J16-K16</f>
        <v>0</v>
      </c>
      <c r="M16"/>
      <c r="N16" s="154"/>
      <c r="O16" s="136">
        <v>0</v>
      </c>
      <c r="P16" s="136">
        <v>0</v>
      </c>
      <c r="Q16" s="136">
        <v>0</v>
      </c>
      <c r="R16" s="136">
        <v>0</v>
      </c>
      <c r="S16" s="136">
        <v>0</v>
      </c>
      <c r="T16" s="136">
        <f>+$J16</f>
        <v>0</v>
      </c>
      <c r="U16" s="136">
        <v>0</v>
      </c>
      <c r="V16" s="136">
        <v>0</v>
      </c>
      <c r="W16" s="136">
        <v>0</v>
      </c>
      <c r="X16" s="136">
        <v>0</v>
      </c>
      <c r="Z16" s="159">
        <f t="shared" si="9"/>
        <v>0</v>
      </c>
    </row>
    <row r="17" spans="3:26" s="130" customFormat="1" ht="30.95" customHeight="1">
      <c r="C17" s="148" t="s">
        <v>563</v>
      </c>
      <c r="D17" s="137" t="s">
        <v>571</v>
      </c>
      <c r="E17" s="137" t="s">
        <v>572</v>
      </c>
      <c r="F17" s="140">
        <f>+$H$6</f>
        <v>46053</v>
      </c>
      <c r="G17" s="139">
        <v>45</v>
      </c>
      <c r="H17" s="140">
        <f t="shared" si="10"/>
        <v>46098</v>
      </c>
      <c r="I17" s="141">
        <v>0</v>
      </c>
      <c r="J17" s="141">
        <v>7000</v>
      </c>
      <c r="K17" s="141">
        <v>0</v>
      </c>
      <c r="L17" s="153">
        <f t="shared" si="8"/>
        <v>7000</v>
      </c>
      <c r="M17"/>
      <c r="N17" s="154"/>
      <c r="O17" s="136">
        <v>0</v>
      </c>
      <c r="P17" s="136">
        <v>0</v>
      </c>
      <c r="Q17" s="136">
        <f>+$J17</f>
        <v>7000</v>
      </c>
      <c r="R17" s="136">
        <v>0</v>
      </c>
      <c r="S17" s="136">
        <v>0</v>
      </c>
      <c r="T17" s="136">
        <v>0</v>
      </c>
      <c r="U17" s="136">
        <v>0</v>
      </c>
      <c r="V17" s="136">
        <v>0</v>
      </c>
      <c r="W17" s="136">
        <v>0</v>
      </c>
      <c r="X17" s="136">
        <v>0</v>
      </c>
      <c r="Z17" s="159">
        <f t="shared" si="9"/>
        <v>0</v>
      </c>
    </row>
    <row r="18" spans="3:26" s="130" customFormat="1" ht="30.95" customHeight="1">
      <c r="C18" s="148" t="s">
        <v>563</v>
      </c>
      <c r="D18" s="137" t="s">
        <v>573</v>
      </c>
      <c r="E18" s="137" t="s">
        <v>572</v>
      </c>
      <c r="F18" s="140">
        <f>+$H$6</f>
        <v>46053</v>
      </c>
      <c r="G18" s="139">
        <v>45</v>
      </c>
      <c r="H18" s="140">
        <f t="shared" si="10"/>
        <v>46098</v>
      </c>
      <c r="I18" s="141">
        <v>0</v>
      </c>
      <c r="J18" s="141">
        <v>7500</v>
      </c>
      <c r="K18" s="141">
        <v>0</v>
      </c>
      <c r="L18" s="153">
        <f t="shared" si="8"/>
        <v>7500</v>
      </c>
      <c r="M18"/>
      <c r="N18" s="154"/>
      <c r="O18" s="136">
        <v>0</v>
      </c>
      <c r="P18" s="136">
        <v>0</v>
      </c>
      <c r="Q18" s="136">
        <v>0</v>
      </c>
      <c r="R18" s="136">
        <f>+$J18*0.5</f>
        <v>3750</v>
      </c>
      <c r="S18" s="136">
        <f>+$J18*0.5</f>
        <v>3750</v>
      </c>
      <c r="T18" s="136">
        <v>0</v>
      </c>
      <c r="U18" s="136">
        <v>0</v>
      </c>
      <c r="V18" s="136">
        <v>0</v>
      </c>
      <c r="W18" s="136">
        <v>0</v>
      </c>
      <c r="X18" s="136">
        <v>0</v>
      </c>
      <c r="Z18" s="159">
        <f t="shared" ref="Z18" si="13">+SUM(O18:X18)-J18</f>
        <v>0</v>
      </c>
    </row>
    <row r="19" spans="3:26" s="130" customFormat="1" ht="30.95" customHeight="1">
      <c r="C19" s="148" t="s">
        <v>563</v>
      </c>
      <c r="D19" s="137" t="s">
        <v>574</v>
      </c>
      <c r="E19" s="137" t="s">
        <v>565</v>
      </c>
      <c r="F19" s="140">
        <f t="shared" si="6"/>
        <v>46054</v>
      </c>
      <c r="G19" s="139">
        <v>60</v>
      </c>
      <c r="H19" s="140">
        <f t="shared" ref="H19" si="14">+F19+G19</f>
        <v>46114</v>
      </c>
      <c r="I19" s="141">
        <v>0</v>
      </c>
      <c r="J19" s="141">
        <v>2000</v>
      </c>
      <c r="K19" s="141">
        <v>0</v>
      </c>
      <c r="L19" s="153">
        <f t="shared" ref="L19" si="15">+J19-K19</f>
        <v>2000</v>
      </c>
      <c r="M19"/>
      <c r="N19" s="154"/>
      <c r="O19" s="136">
        <v>0</v>
      </c>
      <c r="P19" s="136">
        <v>0</v>
      </c>
      <c r="Q19" s="136">
        <v>0</v>
      </c>
      <c r="R19" s="136">
        <f>+$J19</f>
        <v>2000</v>
      </c>
      <c r="S19" s="136">
        <v>0</v>
      </c>
      <c r="T19" s="136">
        <v>0</v>
      </c>
      <c r="U19" s="136">
        <v>0</v>
      </c>
      <c r="V19" s="136">
        <v>0</v>
      </c>
      <c r="W19" s="136">
        <v>0</v>
      </c>
      <c r="X19" s="136">
        <v>0</v>
      </c>
      <c r="Z19" s="159">
        <f t="shared" ref="Z19" si="16">+SUM(O19:X19)-J19</f>
        <v>0</v>
      </c>
    </row>
    <row r="20" spans="3:26" s="130" customFormat="1" ht="30.95" customHeight="1">
      <c r="C20" s="148" t="s">
        <v>575</v>
      </c>
      <c r="D20" s="137" t="s">
        <v>576</v>
      </c>
      <c r="E20" s="137" t="s">
        <v>577</v>
      </c>
      <c r="F20" s="140">
        <f t="shared" ref="F20:F21" si="17">+$H$6+1</f>
        <v>46054</v>
      </c>
      <c r="G20" s="139">
        <v>60</v>
      </c>
      <c r="H20" s="140">
        <f t="shared" si="1"/>
        <v>46114</v>
      </c>
      <c r="I20" s="141">
        <v>27000</v>
      </c>
      <c r="J20" s="141">
        <v>15000</v>
      </c>
      <c r="K20" s="141">
        <v>0</v>
      </c>
      <c r="L20" s="153">
        <f t="shared" si="2"/>
        <v>15000</v>
      </c>
      <c r="M20"/>
      <c r="N20" s="154"/>
      <c r="O20" s="136">
        <v>0</v>
      </c>
      <c r="P20" s="136">
        <v>0</v>
      </c>
      <c r="Q20" s="136">
        <v>0</v>
      </c>
      <c r="R20" s="167">
        <f>+$J20</f>
        <v>15000</v>
      </c>
      <c r="S20" s="136">
        <v>0</v>
      </c>
      <c r="T20" s="136">
        <v>0</v>
      </c>
      <c r="U20" s="136">
        <v>0</v>
      </c>
      <c r="V20" s="136">
        <v>0</v>
      </c>
      <c r="W20" s="136">
        <v>0</v>
      </c>
      <c r="X20" s="136">
        <v>0</v>
      </c>
      <c r="Z20" s="159">
        <f t="shared" si="4"/>
        <v>0</v>
      </c>
    </row>
    <row r="21" spans="3:26" s="130" customFormat="1" ht="30.95" customHeight="1">
      <c r="C21" s="148" t="s">
        <v>575</v>
      </c>
      <c r="D21" s="137" t="s">
        <v>578</v>
      </c>
      <c r="E21" s="137" t="s">
        <v>577</v>
      </c>
      <c r="F21" s="140">
        <f t="shared" si="17"/>
        <v>46054</v>
      </c>
      <c r="G21" s="139">
        <v>60</v>
      </c>
      <c r="H21" s="140">
        <f t="shared" ref="H21" si="18">+F21+G21</f>
        <v>46114</v>
      </c>
      <c r="I21" s="141">
        <v>20000</v>
      </c>
      <c r="J21" s="141">
        <f>15000+13000</f>
        <v>28000</v>
      </c>
      <c r="K21" s="141">
        <v>0</v>
      </c>
      <c r="L21" s="153">
        <f t="shared" si="2"/>
        <v>28000</v>
      </c>
      <c r="M21"/>
      <c r="N21" s="154"/>
      <c r="O21" s="136">
        <v>0</v>
      </c>
      <c r="P21" s="136">
        <v>0</v>
      </c>
      <c r="Q21" s="136">
        <v>0</v>
      </c>
      <c r="R21" s="167">
        <f>+$J21</f>
        <v>28000</v>
      </c>
      <c r="S21" s="136">
        <v>0</v>
      </c>
      <c r="T21" s="136">
        <v>0</v>
      </c>
      <c r="U21" s="136">
        <v>0</v>
      </c>
      <c r="V21" s="136">
        <v>0</v>
      </c>
      <c r="W21" s="136">
        <v>0</v>
      </c>
      <c r="X21" s="136">
        <v>0</v>
      </c>
      <c r="Z21" s="159">
        <f t="shared" si="4"/>
        <v>0</v>
      </c>
    </row>
    <row r="22" spans="3:26" s="130" customFormat="1" ht="30.95" customHeight="1">
      <c r="C22" s="148" t="s">
        <v>563</v>
      </c>
      <c r="D22" s="137" t="s">
        <v>579</v>
      </c>
      <c r="E22" s="137" t="s">
        <v>580</v>
      </c>
      <c r="F22" s="140">
        <f>+F9</f>
        <v>46053</v>
      </c>
      <c r="G22" s="166">
        <f>+G9</f>
        <v>120</v>
      </c>
      <c r="H22" s="140">
        <f>+F22+G22</f>
        <v>46173</v>
      </c>
      <c r="I22" s="141">
        <f>50500</f>
        <v>50500</v>
      </c>
      <c r="J22" s="153">
        <f>+I22</f>
        <v>50500</v>
      </c>
      <c r="K22" s="141">
        <v>0</v>
      </c>
      <c r="L22" s="153">
        <f>+J22-K22</f>
        <v>50500</v>
      </c>
      <c r="M22"/>
      <c r="N22" s="154"/>
      <c r="O22" s="136">
        <v>0</v>
      </c>
      <c r="P22" s="136">
        <v>0</v>
      </c>
      <c r="Q22" s="136">
        <v>0</v>
      </c>
      <c r="R22" s="136">
        <v>0</v>
      </c>
      <c r="S22" s="136">
        <v>0</v>
      </c>
      <c r="T22" s="136">
        <f t="shared" ref="T22:T23" si="19">+$J22</f>
        <v>50500</v>
      </c>
      <c r="U22" s="136">
        <v>0</v>
      </c>
      <c r="V22" s="136">
        <v>0</v>
      </c>
      <c r="W22" s="136">
        <v>0</v>
      </c>
      <c r="X22" s="136">
        <v>0</v>
      </c>
      <c r="Z22" s="159">
        <f>+SUM(O22:X22)-J22</f>
        <v>0</v>
      </c>
    </row>
    <row r="23" spans="3:26" s="130" customFormat="1" ht="28.7" customHeight="1">
      <c r="C23" s="147" t="s">
        <v>581</v>
      </c>
      <c r="D23" s="131"/>
      <c r="E23" s="131"/>
      <c r="F23" s="140">
        <f>+$H$5</f>
        <v>46013</v>
      </c>
      <c r="G23" s="139">
        <v>40</v>
      </c>
      <c r="H23" s="140">
        <f>+F23+G23</f>
        <v>46053</v>
      </c>
      <c r="I23" s="135">
        <v>0</v>
      </c>
      <c r="J23" s="152">
        <f>10%*SUM(J5:J22,-J22)</f>
        <v>19325.00001</v>
      </c>
      <c r="K23" s="141">
        <v>0</v>
      </c>
      <c r="L23" s="153">
        <f>+J23-K23</f>
        <v>19325.00001</v>
      </c>
      <c r="M23"/>
      <c r="N23" s="154"/>
      <c r="O23" s="136">
        <v>0</v>
      </c>
      <c r="P23" s="136">
        <v>0</v>
      </c>
      <c r="Q23" s="136">
        <v>0</v>
      </c>
      <c r="R23" s="136">
        <v>0</v>
      </c>
      <c r="S23" s="136">
        <v>0</v>
      </c>
      <c r="T23" s="136">
        <f t="shared" si="19"/>
        <v>19325.00001</v>
      </c>
      <c r="U23" s="136">
        <v>0</v>
      </c>
      <c r="V23" s="136">
        <v>0</v>
      </c>
      <c r="W23" s="136">
        <v>0</v>
      </c>
      <c r="X23" s="136">
        <v>0</v>
      </c>
      <c r="Z23" s="159">
        <f>+SUM(O23:X23)-J23</f>
        <v>0</v>
      </c>
    </row>
    <row r="24" spans="3:26" s="130" customFormat="1" ht="30.95" customHeight="1">
      <c r="C24" s="148" t="s">
        <v>582</v>
      </c>
      <c r="D24" s="151" t="s">
        <v>583</v>
      </c>
      <c r="E24" s="137" t="s">
        <v>498</v>
      </c>
      <c r="F24" s="140">
        <f>+$H$6</f>
        <v>46053</v>
      </c>
      <c r="G24" s="139">
        <v>5</v>
      </c>
      <c r="H24" s="140">
        <f>+F24+G24</f>
        <v>46058</v>
      </c>
      <c r="I24" s="141">
        <v>50000</v>
      </c>
      <c r="J24" s="153">
        <f>+I24</f>
        <v>50000</v>
      </c>
      <c r="K24" s="141">
        <v>0</v>
      </c>
      <c r="L24" s="153">
        <f>+J24-K24</f>
        <v>50000</v>
      </c>
      <c r="M24"/>
      <c r="N24" s="154"/>
      <c r="O24" s="136">
        <v>0</v>
      </c>
      <c r="P24" s="136">
        <v>0</v>
      </c>
      <c r="Q24" s="136">
        <f>+$J24</f>
        <v>50000</v>
      </c>
      <c r="R24" s="136">
        <v>0</v>
      </c>
      <c r="S24" s="136">
        <v>0</v>
      </c>
      <c r="T24" s="136">
        <v>0</v>
      </c>
      <c r="U24" s="136">
        <v>0</v>
      </c>
      <c r="V24" s="136">
        <v>0</v>
      </c>
      <c r="W24" s="136">
        <v>0</v>
      </c>
      <c r="X24" s="136">
        <v>0</v>
      </c>
      <c r="Z24" s="159">
        <f>+SUM(O24:X24)-J24</f>
        <v>0</v>
      </c>
    </row>
    <row r="25" spans="3:26" s="130" customFormat="1" ht="30.95" customHeight="1">
      <c r="C25" s="148" t="s">
        <v>584</v>
      </c>
      <c r="D25" s="151" t="s">
        <v>585</v>
      </c>
      <c r="E25" s="137" t="s">
        <v>498</v>
      </c>
      <c r="F25" s="140">
        <f>+$H$6+60</f>
        <v>46113</v>
      </c>
      <c r="G25" s="139">
        <v>5</v>
      </c>
      <c r="H25" s="140">
        <f>+F25+G25</f>
        <v>46118</v>
      </c>
      <c r="I25" s="141">
        <v>150000</v>
      </c>
      <c r="J25" s="153">
        <f>+I25</f>
        <v>150000</v>
      </c>
      <c r="K25" s="141">
        <v>0</v>
      </c>
      <c r="L25" s="153">
        <f>+J25-K25</f>
        <v>150000</v>
      </c>
      <c r="M25"/>
      <c r="N25" s="154"/>
      <c r="O25" s="136">
        <v>0</v>
      </c>
      <c r="P25" s="136">
        <v>0</v>
      </c>
      <c r="Q25" s="136">
        <v>0</v>
      </c>
      <c r="R25" s="136">
        <v>0</v>
      </c>
      <c r="S25" s="136">
        <f>+$J25</f>
        <v>150000</v>
      </c>
      <c r="T25" s="136">
        <v>0</v>
      </c>
      <c r="U25" s="136">
        <v>0</v>
      </c>
      <c r="V25" s="136">
        <v>0</v>
      </c>
      <c r="W25" s="136">
        <v>0</v>
      </c>
      <c r="X25" s="136">
        <v>0</v>
      </c>
      <c r="Z25" s="159">
        <f>+SUM(O25:X25)-J25</f>
        <v>0</v>
      </c>
    </row>
    <row r="26" spans="3:26" s="130" customFormat="1" ht="28.7" customHeight="1" thickBot="1">
      <c r="C26" s="142" t="s">
        <v>586</v>
      </c>
      <c r="D26" s="143"/>
      <c r="E26" s="143"/>
      <c r="F26" s="144"/>
      <c r="G26" s="145"/>
      <c r="H26" s="144"/>
      <c r="I26" s="146">
        <f>SUM(I5:I25)</f>
        <v>545000.00010000006</v>
      </c>
      <c r="J26" s="146">
        <f>SUM(J5:J25)</f>
        <v>463075.00011000002</v>
      </c>
      <c r="K26" s="146">
        <f>SUM(K5:K25)</f>
        <v>1E-4</v>
      </c>
      <c r="L26" s="146"/>
      <c r="M26"/>
      <c r="N26" s="154"/>
      <c r="O26" s="146">
        <f t="shared" ref="O26:X26" si="20">SUM(O5:O25)</f>
        <v>1E-4</v>
      </c>
      <c r="P26" s="146">
        <f t="shared" si="20"/>
        <v>0</v>
      </c>
      <c r="Q26" s="146">
        <f t="shared" si="20"/>
        <v>57000</v>
      </c>
      <c r="R26" s="146">
        <f t="shared" si="20"/>
        <v>64687.5</v>
      </c>
      <c r="S26" s="146">
        <f t="shared" si="20"/>
        <v>159062.5</v>
      </c>
      <c r="T26" s="146">
        <f t="shared" si="20"/>
        <v>182325.00000999999</v>
      </c>
      <c r="U26" s="146">
        <f t="shared" si="20"/>
        <v>0</v>
      </c>
      <c r="V26" s="146">
        <f t="shared" si="20"/>
        <v>0</v>
      </c>
      <c r="W26" s="146">
        <f t="shared" si="20"/>
        <v>0</v>
      </c>
      <c r="X26" s="146">
        <f t="shared" si="20"/>
        <v>0</v>
      </c>
      <c r="Z26" s="159">
        <f t="shared" si="4"/>
        <v>0</v>
      </c>
    </row>
    <row r="27" spans="3:26" s="130" customFormat="1" ht="28.7" customHeight="1" thickTop="1" thickBot="1">
      <c r="C27" s="142" t="s">
        <v>587</v>
      </c>
      <c r="D27" s="143"/>
      <c r="E27" s="143"/>
      <c r="F27" s="144"/>
      <c r="G27" s="145"/>
      <c r="H27" s="144"/>
      <c r="I27" s="146">
        <f t="shared" ref="I27" si="21">+I26-SUM(I25,I24)</f>
        <v>345000.00010000006</v>
      </c>
      <c r="J27" s="146">
        <f>+J26-SUM(J25,J24)</f>
        <v>263075.00011000002</v>
      </c>
      <c r="K27" s="146">
        <f t="shared" ref="K27" si="22">+K26-SUM(K25,K24)</f>
        <v>1E-4</v>
      </c>
      <c r="L27" s="146"/>
      <c r="M27"/>
      <c r="N27" s="154"/>
      <c r="O27" s="146">
        <f t="shared" ref="O27" si="23">+O26-SUM(O25,O24)</f>
        <v>1E-4</v>
      </c>
      <c r="P27" s="146">
        <f t="shared" ref="P27" si="24">+P26-SUM(P25,P24)</f>
        <v>0</v>
      </c>
      <c r="Q27" s="146">
        <f t="shared" ref="Q27" si="25">+Q26-SUM(Q25,Q24)</f>
        <v>7000</v>
      </c>
      <c r="R27" s="146">
        <f t="shared" ref="R27" si="26">+R26-SUM(R25,R24)</f>
        <v>64687.5</v>
      </c>
      <c r="S27" s="146">
        <f t="shared" ref="S27" si="27">+S26-SUM(S25,S24)</f>
        <v>9062.5</v>
      </c>
      <c r="T27" s="146">
        <f t="shared" ref="T27" si="28">+T26-SUM(T25,T24)</f>
        <v>182325.00000999999</v>
      </c>
      <c r="U27" s="146">
        <f t="shared" ref="U27" si="29">+U26-SUM(U25,U24)</f>
        <v>0</v>
      </c>
      <c r="V27" s="146">
        <f t="shared" ref="V27" si="30">+V26-SUM(V25,V24)</f>
        <v>0</v>
      </c>
      <c r="W27" s="146">
        <f t="shared" ref="W27" si="31">+W26-SUM(W25,W24)</f>
        <v>0</v>
      </c>
      <c r="X27" s="146">
        <f t="shared" ref="X27" si="32">+X26-SUM(X25,X24)</f>
        <v>0</v>
      </c>
      <c r="Z27" s="159">
        <f t="shared" si="4"/>
        <v>0</v>
      </c>
    </row>
    <row r="28" spans="3:26" s="72" customFormat="1" ht="15.75" thickTop="1">
      <c r="C28" s="122"/>
      <c r="D28" s="123"/>
      <c r="E28" s="123"/>
      <c r="F28" s="124"/>
      <c r="G28" s="127"/>
      <c r="H28" s="124"/>
      <c r="I28" s="125"/>
      <c r="J28" s="125"/>
      <c r="K28" s="125"/>
      <c r="L28" s="125"/>
      <c r="M28"/>
      <c r="N28" s="154"/>
      <c r="O28" s="125"/>
      <c r="P28" s="125"/>
      <c r="Q28" s="125"/>
      <c r="R28" s="125"/>
      <c r="S28" s="125"/>
      <c r="T28" s="125"/>
      <c r="U28" s="125"/>
      <c r="V28" s="125"/>
      <c r="W28" s="125"/>
      <c r="X28" s="125"/>
    </row>
    <row r="29" spans="3:26">
      <c r="C29" s="73" t="s">
        <v>588</v>
      </c>
      <c r="P29" s="160">
        <f>+P26*50%</f>
        <v>0</v>
      </c>
      <c r="Q29" s="160">
        <f t="shared" ref="Q29:T30" si="33">+Q26*50%</f>
        <v>28500</v>
      </c>
      <c r="R29" s="160">
        <f t="shared" si="33"/>
        <v>32343.75</v>
      </c>
      <c r="S29" s="160">
        <f t="shared" si="33"/>
        <v>79531.25</v>
      </c>
      <c r="T29" s="160">
        <f t="shared" si="33"/>
        <v>91162.500004999994</v>
      </c>
    </row>
    <row r="30" spans="3:26">
      <c r="C30" s="75" t="s">
        <v>589</v>
      </c>
      <c r="P30" s="160">
        <f>+P27*50%</f>
        <v>0</v>
      </c>
      <c r="Q30" s="160">
        <f t="shared" si="33"/>
        <v>3500</v>
      </c>
      <c r="R30" s="160">
        <f t="shared" si="33"/>
        <v>32343.75</v>
      </c>
      <c r="S30" s="160">
        <f t="shared" si="33"/>
        <v>4531.25</v>
      </c>
      <c r="T30" s="160">
        <f t="shared" si="33"/>
        <v>91162.500004999994</v>
      </c>
    </row>
    <row r="31" spans="3:26">
      <c r="C31" s="75"/>
      <c r="P31" s="160">
        <f>+P30/4</f>
        <v>0</v>
      </c>
      <c r="Q31" s="160">
        <f t="shared" ref="Q31:T31" si="34">+Q30/4</f>
        <v>875</v>
      </c>
      <c r="R31" s="160">
        <f t="shared" si="34"/>
        <v>8085.9375</v>
      </c>
      <c r="S31" s="160">
        <f t="shared" si="34"/>
        <v>1132.8125</v>
      </c>
      <c r="T31" s="160">
        <f t="shared" si="34"/>
        <v>22790.625001249999</v>
      </c>
    </row>
  </sheetData>
  <conditionalFormatting sqref="O5:X25">
    <cfRule type="cellIs" dxfId="0" priority="1" stopIfTrue="1" operator="notEqual">
      <formula>0</formula>
    </cfRule>
  </conditionalFormatting>
  <pageMargins left="0.75" right="0.75" top="1" bottom="1" header="0.5" footer="0.5"/>
  <pageSetup scale="3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A18B-9C2A-4BA7-9554-285AC7C668B4}">
  <sheetPr>
    <pageSetUpPr fitToPage="1"/>
  </sheetPr>
  <dimension ref="C2:M65527"/>
  <sheetViews>
    <sheetView showGridLines="0" view="pageBreakPreview" zoomScale="85" zoomScaleNormal="71" zoomScaleSheetLayoutView="85" workbookViewId="0">
      <selection activeCell="E12" sqref="E12"/>
    </sheetView>
  </sheetViews>
  <sheetFormatPr defaultColWidth="9.140625" defaultRowHeight="15" outlineLevelCol="1"/>
  <cols>
    <col min="1" max="1" width="9.140625" style="1"/>
    <col min="2" max="2" width="1.85546875" style="1" customWidth="1"/>
    <col min="3" max="3" width="10.140625" style="1" hidden="1" customWidth="1"/>
    <col min="4" max="4" width="7.85546875" style="1" customWidth="1" collapsed="1"/>
    <col min="5" max="5" width="94.85546875" style="3" bestFit="1" customWidth="1"/>
    <col min="6" max="6" width="14.42578125" style="1" customWidth="1"/>
    <col min="7" max="7" width="21.140625" style="1" hidden="1" customWidth="1" outlineLevel="1"/>
    <col min="8" max="8" width="17" style="3" hidden="1" customWidth="1" collapsed="1"/>
    <col min="9" max="9" width="55.85546875" style="5" hidden="1" customWidth="1"/>
    <col min="10" max="10" width="45.140625" style="1" hidden="1" customWidth="1"/>
    <col min="11" max="11" width="1.85546875" style="1" customWidth="1"/>
    <col min="12" max="12" width="11" style="6" bestFit="1" customWidth="1"/>
    <col min="13" max="13" width="11" style="1" bestFit="1" customWidth="1"/>
    <col min="14" max="16384" width="9.140625" style="1"/>
  </cols>
  <sheetData>
    <row r="2" spans="3:13" ht="18.75">
      <c r="D2" s="2" t="s">
        <v>178</v>
      </c>
      <c r="F2" s="4">
        <v>45992</v>
      </c>
    </row>
    <row r="3" spans="3:13">
      <c r="D3" s="7" t="s">
        <v>180</v>
      </c>
      <c r="I3" s="3"/>
    </row>
    <row r="4" spans="3:13" ht="15.75" thickBot="1">
      <c r="C4" s="8"/>
      <c r="D4" s="9"/>
      <c r="F4" s="10"/>
      <c r="G4" s="10"/>
      <c r="H4" s="10"/>
      <c r="I4" s="11">
        <f ca="1">+TODAY()</f>
        <v>46217</v>
      </c>
    </row>
    <row r="5" spans="3:13" ht="15.75" thickBot="1">
      <c r="C5" s="12" t="s">
        <v>15</v>
      </c>
      <c r="D5" s="13" t="s">
        <v>16</v>
      </c>
      <c r="E5" s="14" t="s">
        <v>181</v>
      </c>
      <c r="F5" s="15" t="s">
        <v>18</v>
      </c>
      <c r="G5" s="16" t="s">
        <v>182</v>
      </c>
      <c r="H5" s="17" t="s">
        <v>19</v>
      </c>
      <c r="I5" s="18" t="s">
        <v>183</v>
      </c>
      <c r="J5" s="19" t="s">
        <v>23</v>
      </c>
      <c r="L5" s="20"/>
      <c r="M5" s="21"/>
    </row>
    <row r="6" spans="3:13">
      <c r="C6" s="22"/>
      <c r="D6" s="23" t="s">
        <v>185</v>
      </c>
      <c r="E6" s="24"/>
      <c r="F6" s="24"/>
      <c r="G6" s="24"/>
      <c r="H6" s="24"/>
      <c r="I6" s="25"/>
      <c r="J6" s="26"/>
      <c r="L6" s="27"/>
      <c r="M6" s="21"/>
    </row>
    <row r="7" spans="3:13">
      <c r="C7" s="28"/>
      <c r="D7" s="29">
        <f>+MAX($D$5:D5)+1</f>
        <v>1</v>
      </c>
      <c r="E7" s="30" t="s">
        <v>590</v>
      </c>
      <c r="F7" s="29" t="s">
        <v>35</v>
      </c>
      <c r="G7" s="29" t="s">
        <v>187</v>
      </c>
      <c r="H7" s="29"/>
      <c r="I7" s="31"/>
      <c r="J7" s="32"/>
      <c r="L7" s="33"/>
    </row>
    <row r="8" spans="3:13" s="37" customFormat="1">
      <c r="C8" s="29"/>
      <c r="D8" s="34">
        <f>+MAX($D$5:D7)+1</f>
        <v>2</v>
      </c>
      <c r="E8" s="35" t="s">
        <v>591</v>
      </c>
      <c r="F8" s="29" t="s">
        <v>35</v>
      </c>
      <c r="G8" s="29" t="s">
        <v>187</v>
      </c>
      <c r="H8" s="34"/>
      <c r="I8" s="36"/>
      <c r="J8" s="32"/>
      <c r="L8" s="33"/>
    </row>
    <row r="9" spans="3:13" s="37" customFormat="1">
      <c r="C9" s="29"/>
      <c r="D9" s="34">
        <f>+MAX($D$5:D8)+1</f>
        <v>3</v>
      </c>
      <c r="E9" s="35" t="s">
        <v>592</v>
      </c>
      <c r="F9" s="29" t="s">
        <v>35</v>
      </c>
      <c r="G9" s="29" t="s">
        <v>187</v>
      </c>
      <c r="H9" s="34"/>
      <c r="I9" s="36"/>
      <c r="J9" s="32"/>
      <c r="L9" s="33"/>
    </row>
    <row r="10" spans="3:13">
      <c r="C10" s="22"/>
      <c r="D10" s="23" t="s">
        <v>192</v>
      </c>
      <c r="E10" s="24"/>
      <c r="F10" s="24"/>
      <c r="G10" s="24"/>
      <c r="H10" s="24"/>
      <c r="I10" s="25"/>
      <c r="J10" s="26"/>
      <c r="L10" s="27"/>
      <c r="M10" s="21"/>
    </row>
    <row r="11" spans="3:13">
      <c r="C11" s="28"/>
      <c r="D11" s="29"/>
      <c r="E11" s="38" t="s">
        <v>593</v>
      </c>
      <c r="F11" s="29" t="s">
        <v>35</v>
      </c>
      <c r="G11" s="29" t="s">
        <v>194</v>
      </c>
      <c r="H11" s="29"/>
      <c r="I11" s="31"/>
      <c r="J11" s="32"/>
      <c r="L11" s="33"/>
    </row>
    <row r="12" spans="3:13">
      <c r="C12" s="28"/>
      <c r="D12" s="29">
        <f>+MAX($D$5:D11)+1</f>
        <v>4</v>
      </c>
      <c r="E12" s="39" t="s">
        <v>195</v>
      </c>
      <c r="F12" s="29" t="s">
        <v>35</v>
      </c>
      <c r="G12" s="29" t="s">
        <v>194</v>
      </c>
      <c r="H12" s="29"/>
      <c r="I12" s="31"/>
      <c r="J12" s="32"/>
    </row>
    <row r="13" spans="3:13">
      <c r="C13" s="40"/>
      <c r="D13" s="29">
        <f>+MAX($D$5:D12)+1</f>
        <v>5</v>
      </c>
      <c r="E13" s="41" t="s">
        <v>594</v>
      </c>
      <c r="F13" s="40" t="s">
        <v>35</v>
      </c>
      <c r="G13" s="29" t="s">
        <v>194</v>
      </c>
      <c r="H13" s="40"/>
      <c r="I13" s="42"/>
      <c r="J13" s="43"/>
      <c r="L13" s="3"/>
    </row>
    <row r="14" spans="3:13">
      <c r="C14" s="40"/>
      <c r="D14" s="29">
        <f>+MAX($D$5:D13)+1</f>
        <v>6</v>
      </c>
      <c r="E14" s="44" t="s">
        <v>198</v>
      </c>
      <c r="F14" s="45" t="s">
        <v>198</v>
      </c>
      <c r="G14" s="46" t="s">
        <v>198</v>
      </c>
      <c r="H14" s="47"/>
      <c r="I14" s="48"/>
      <c r="J14" s="43"/>
    </row>
    <row r="15" spans="3:13">
      <c r="C15" s="40"/>
      <c r="D15" s="29">
        <f>+MAX($D$5:D14)+1</f>
        <v>7</v>
      </c>
      <c r="E15" s="41" t="s">
        <v>199</v>
      </c>
      <c r="F15" s="40" t="s">
        <v>35</v>
      </c>
      <c r="G15" s="29" t="s">
        <v>194</v>
      </c>
      <c r="H15" s="47"/>
      <c r="I15" s="48"/>
      <c r="J15" s="43"/>
    </row>
    <row r="16" spans="3:13">
      <c r="C16" s="40"/>
      <c r="D16" s="29">
        <f>+MAX($D$5:D15)+1</f>
        <v>8</v>
      </c>
      <c r="E16" s="41" t="s">
        <v>200</v>
      </c>
      <c r="F16" s="40" t="s">
        <v>35</v>
      </c>
      <c r="G16" s="29" t="s">
        <v>194</v>
      </c>
      <c r="H16" s="47"/>
      <c r="I16" s="48"/>
      <c r="J16" s="43"/>
    </row>
    <row r="17" spans="3:12">
      <c r="C17" s="40"/>
      <c r="D17" s="29">
        <f>+MAX($D$5:D16)+1</f>
        <v>9</v>
      </c>
      <c r="E17" s="41" t="s">
        <v>201</v>
      </c>
      <c r="F17" s="40" t="s">
        <v>35</v>
      </c>
      <c r="G17" s="29" t="s">
        <v>194</v>
      </c>
      <c r="H17" s="47"/>
      <c r="I17" s="48"/>
      <c r="J17" s="43"/>
    </row>
    <row r="18" spans="3:12">
      <c r="C18" s="40"/>
      <c r="D18" s="29">
        <f>+MAX($D$5:D17)+1</f>
        <v>10</v>
      </c>
      <c r="E18" s="41" t="s">
        <v>202</v>
      </c>
      <c r="F18" s="40" t="s">
        <v>35</v>
      </c>
      <c r="G18" s="29" t="s">
        <v>194</v>
      </c>
      <c r="H18" s="47"/>
      <c r="I18" s="48"/>
      <c r="J18" s="43"/>
    </row>
    <row r="19" spans="3:12">
      <c r="C19" s="40"/>
      <c r="D19" s="29"/>
      <c r="E19" s="49" t="s">
        <v>595</v>
      </c>
      <c r="F19" s="40"/>
      <c r="G19" s="50"/>
      <c r="H19" s="47"/>
      <c r="I19" s="48"/>
      <c r="J19" s="43"/>
    </row>
    <row r="20" spans="3:12">
      <c r="C20" s="40"/>
      <c r="D20" s="29">
        <f>+MAX($D$5:D19)+1</f>
        <v>11</v>
      </c>
      <c r="E20" s="41" t="s">
        <v>596</v>
      </c>
      <c r="F20" s="40" t="s">
        <v>35</v>
      </c>
      <c r="G20" s="29" t="s">
        <v>194</v>
      </c>
      <c r="H20" s="47"/>
      <c r="I20" s="48"/>
      <c r="J20" s="43"/>
    </row>
    <row r="21" spans="3:12">
      <c r="C21" s="40"/>
      <c r="D21" s="29">
        <f>+MAX($D$5:D20)+1</f>
        <v>12</v>
      </c>
      <c r="E21" s="41" t="s">
        <v>205</v>
      </c>
      <c r="F21" s="40" t="s">
        <v>35</v>
      </c>
      <c r="G21" s="29" t="s">
        <v>194</v>
      </c>
      <c r="H21" s="47"/>
      <c r="I21" s="48"/>
      <c r="J21" s="43"/>
    </row>
    <row r="22" spans="3:12">
      <c r="C22" s="40"/>
      <c r="D22" s="29">
        <f>+MAX($D$5:D21)+1</f>
        <v>13</v>
      </c>
      <c r="E22" s="41" t="s">
        <v>206</v>
      </c>
      <c r="F22" s="40" t="s">
        <v>35</v>
      </c>
      <c r="G22" s="29" t="s">
        <v>194</v>
      </c>
      <c r="H22" s="47"/>
      <c r="I22" s="48"/>
      <c r="J22" s="43"/>
    </row>
    <row r="23" spans="3:12">
      <c r="C23" s="40"/>
      <c r="D23" s="29">
        <f>+MAX($D$5:D22)+1</f>
        <v>14</v>
      </c>
      <c r="E23" s="41" t="s">
        <v>207</v>
      </c>
      <c r="F23" s="40" t="s">
        <v>35</v>
      </c>
      <c r="G23" s="29" t="s">
        <v>194</v>
      </c>
      <c r="H23" s="47"/>
      <c r="I23" s="48"/>
      <c r="J23" s="43"/>
      <c r="L23" s="51"/>
    </row>
    <row r="24" spans="3:12">
      <c r="C24" s="40"/>
      <c r="D24" s="29">
        <f>+MAX($D$5:D23)+1</f>
        <v>15</v>
      </c>
      <c r="E24" s="41" t="s">
        <v>210</v>
      </c>
      <c r="F24" s="40" t="s">
        <v>35</v>
      </c>
      <c r="G24" s="29" t="s">
        <v>194</v>
      </c>
      <c r="H24" s="47"/>
      <c r="I24" s="48"/>
      <c r="J24" s="43"/>
      <c r="L24" s="51"/>
    </row>
    <row r="25" spans="3:12">
      <c r="C25" s="40"/>
      <c r="D25" s="29">
        <f>+MAX($D$5:D24)+1</f>
        <v>16</v>
      </c>
      <c r="E25" s="41" t="s">
        <v>211</v>
      </c>
      <c r="F25" s="40" t="s">
        <v>35</v>
      </c>
      <c r="G25" s="29" t="s">
        <v>194</v>
      </c>
      <c r="H25" s="47"/>
      <c r="I25" s="48"/>
      <c r="J25" s="43"/>
      <c r="L25" s="51"/>
    </row>
    <row r="26" spans="3:12">
      <c r="C26" s="40"/>
      <c r="D26" s="29">
        <f>+MAX($D$5:D25)+1</f>
        <v>17</v>
      </c>
      <c r="E26" s="41" t="s">
        <v>212</v>
      </c>
      <c r="F26" s="40" t="s">
        <v>35</v>
      </c>
      <c r="G26" s="29" t="s">
        <v>194</v>
      </c>
      <c r="H26" s="47"/>
      <c r="I26" s="48"/>
      <c r="J26" s="43"/>
      <c r="L26" s="51"/>
    </row>
    <row r="27" spans="3:12">
      <c r="C27" s="40"/>
      <c r="D27" s="29">
        <f>+MAX($D$5:D26)+1</f>
        <v>18</v>
      </c>
      <c r="E27" s="52" t="s">
        <v>198</v>
      </c>
      <c r="F27" s="53" t="s">
        <v>198</v>
      </c>
      <c r="G27" s="46" t="s">
        <v>198</v>
      </c>
      <c r="H27" s="47"/>
      <c r="I27" s="48"/>
      <c r="J27" s="43"/>
      <c r="L27" s="51"/>
    </row>
    <row r="28" spans="3:12">
      <c r="C28" s="40"/>
      <c r="D28" s="29">
        <f>+MAX($D$5:D27)+1</f>
        <v>19</v>
      </c>
      <c r="E28" s="44" t="s">
        <v>198</v>
      </c>
      <c r="F28" s="45" t="s">
        <v>198</v>
      </c>
      <c r="G28" s="46" t="s">
        <v>198</v>
      </c>
      <c r="H28" s="47"/>
      <c r="I28" s="48"/>
      <c r="J28" s="43"/>
      <c r="L28" s="51"/>
    </row>
    <row r="29" spans="3:12">
      <c r="C29" s="40"/>
      <c r="D29" s="29"/>
      <c r="E29" s="49" t="s">
        <v>597</v>
      </c>
      <c r="F29" s="40"/>
      <c r="G29" s="50"/>
      <c r="H29" s="47"/>
      <c r="I29" s="48"/>
      <c r="J29" s="43"/>
      <c r="L29" s="51"/>
    </row>
    <row r="30" spans="3:12">
      <c r="C30" s="40"/>
      <c r="D30" s="29">
        <f>+MAX($D$5:D29)+1</f>
        <v>20</v>
      </c>
      <c r="E30" s="54" t="s">
        <v>214</v>
      </c>
      <c r="F30" s="40" t="s">
        <v>35</v>
      </c>
      <c r="G30" s="29" t="s">
        <v>194</v>
      </c>
      <c r="H30" s="47"/>
      <c r="I30" s="48"/>
      <c r="J30" s="43"/>
      <c r="L30" s="51"/>
    </row>
    <row r="31" spans="3:12">
      <c r="C31" s="40"/>
      <c r="D31" s="55">
        <f>+MAX($D$5:D30)+1</f>
        <v>21</v>
      </c>
      <c r="E31" s="56" t="s">
        <v>215</v>
      </c>
      <c r="F31" s="40" t="s">
        <v>35</v>
      </c>
      <c r="G31" s="29" t="s">
        <v>194</v>
      </c>
      <c r="H31" s="47"/>
      <c r="I31" s="48"/>
      <c r="J31" s="43"/>
      <c r="L31" s="51"/>
    </row>
    <row r="32" spans="3:12">
      <c r="C32" s="40"/>
      <c r="D32" s="55">
        <f>+MAX($D$5:D31)+1</f>
        <v>22</v>
      </c>
      <c r="E32" s="56" t="s">
        <v>216</v>
      </c>
      <c r="F32" s="40" t="s">
        <v>35</v>
      </c>
      <c r="G32" s="29" t="s">
        <v>194</v>
      </c>
      <c r="H32" s="47"/>
      <c r="I32" s="48"/>
      <c r="J32" s="43"/>
      <c r="L32" s="51"/>
    </row>
    <row r="33" spans="3:13">
      <c r="C33" s="40"/>
      <c r="D33" s="55">
        <f>+MAX($D$5:D32)+1</f>
        <v>23</v>
      </c>
      <c r="E33" s="56" t="s">
        <v>218</v>
      </c>
      <c r="F33" s="40" t="s">
        <v>35</v>
      </c>
      <c r="G33" s="29" t="s">
        <v>194</v>
      </c>
      <c r="H33" s="47"/>
      <c r="I33" s="48"/>
      <c r="J33" s="43"/>
      <c r="L33" s="51"/>
    </row>
    <row r="34" spans="3:13">
      <c r="C34" s="40"/>
      <c r="D34" s="55">
        <f>+MAX($D$5:D33)+1</f>
        <v>24</v>
      </c>
      <c r="E34" s="44" t="s">
        <v>198</v>
      </c>
      <c r="F34" s="45" t="s">
        <v>198</v>
      </c>
      <c r="G34" s="46" t="s">
        <v>198</v>
      </c>
      <c r="H34" s="47"/>
      <c r="I34" s="48"/>
      <c r="J34" s="43"/>
      <c r="L34" s="51"/>
    </row>
    <row r="35" spans="3:13">
      <c r="C35" s="40"/>
      <c r="D35" s="55">
        <f>+MAX($D$5:D34)+1</f>
        <v>25</v>
      </c>
      <c r="E35" s="57" t="s">
        <v>219</v>
      </c>
      <c r="F35" s="40" t="s">
        <v>35</v>
      </c>
      <c r="G35" s="29" t="s">
        <v>194</v>
      </c>
      <c r="H35" s="47"/>
      <c r="I35" s="48"/>
      <c r="J35" s="43"/>
      <c r="L35" s="51"/>
    </row>
    <row r="36" spans="3:13">
      <c r="C36" s="40"/>
      <c r="D36" s="55">
        <f>+MAX($D$5:D35)+1</f>
        <v>26</v>
      </c>
      <c r="E36" s="57" t="s">
        <v>221</v>
      </c>
      <c r="F36" s="40" t="s">
        <v>35</v>
      </c>
      <c r="G36" s="29" t="s">
        <v>194</v>
      </c>
      <c r="H36" s="47"/>
      <c r="I36" s="48"/>
      <c r="J36" s="43"/>
      <c r="L36" s="51"/>
    </row>
    <row r="37" spans="3:13">
      <c r="C37" s="22"/>
      <c r="D37" s="23" t="s">
        <v>224</v>
      </c>
      <c r="E37" s="24"/>
      <c r="F37" s="24"/>
      <c r="G37" s="24"/>
      <c r="H37" s="24"/>
      <c r="I37" s="25"/>
      <c r="J37" s="26"/>
      <c r="L37" s="27"/>
      <c r="M37" s="21"/>
    </row>
    <row r="38" spans="3:13" s="37" customFormat="1">
      <c r="C38" s="58"/>
      <c r="D38" s="55">
        <f>+MAX($D$5:D36)+1</f>
        <v>27</v>
      </c>
      <c r="E38" s="59" t="s">
        <v>226</v>
      </c>
      <c r="F38" s="29" t="s">
        <v>235</v>
      </c>
      <c r="G38" s="60" t="s">
        <v>227</v>
      </c>
      <c r="H38" s="60"/>
      <c r="I38" s="61"/>
      <c r="J38" s="32"/>
      <c r="L38" s="51"/>
    </row>
    <row r="39" spans="3:13" s="37" customFormat="1">
      <c r="C39" s="58"/>
      <c r="D39" s="55">
        <f>+MAX($D$5:D38)+1</f>
        <v>28</v>
      </c>
      <c r="E39" s="59" t="s">
        <v>228</v>
      </c>
      <c r="F39" s="29"/>
      <c r="G39" s="60"/>
      <c r="H39" s="60"/>
      <c r="I39" s="61"/>
      <c r="J39" s="32"/>
      <c r="L39" s="51"/>
    </row>
    <row r="40" spans="3:13" s="37" customFormat="1">
      <c r="C40" s="58"/>
      <c r="D40" s="55">
        <f>+MAX($D$5:D39)+1</f>
        <v>29</v>
      </c>
      <c r="E40" s="59" t="s">
        <v>230</v>
      </c>
      <c r="F40" s="29" t="s">
        <v>235</v>
      </c>
      <c r="G40" s="60" t="s">
        <v>227</v>
      </c>
      <c r="H40" s="60"/>
      <c r="I40" s="61"/>
      <c r="J40" s="32"/>
      <c r="L40" s="51"/>
    </row>
    <row r="41" spans="3:13" s="37" customFormat="1">
      <c r="C41" s="58"/>
      <c r="D41" s="55">
        <f>+MAX($D$5:D40)+1</f>
        <v>30</v>
      </c>
      <c r="E41" s="59" t="s">
        <v>231</v>
      </c>
      <c r="F41" s="29" t="s">
        <v>235</v>
      </c>
      <c r="G41" s="60" t="s">
        <v>227</v>
      </c>
      <c r="H41" s="60"/>
      <c r="I41" s="61"/>
      <c r="J41" s="32"/>
      <c r="L41" s="51"/>
    </row>
    <row r="42" spans="3:13" s="37" customFormat="1">
      <c r="C42" s="58"/>
      <c r="D42" s="55">
        <f>+MAX($D$5:D41)+1</f>
        <v>31</v>
      </c>
      <c r="E42" s="59" t="s">
        <v>233</v>
      </c>
      <c r="F42" s="29" t="s">
        <v>235</v>
      </c>
      <c r="G42" s="60" t="s">
        <v>227</v>
      </c>
      <c r="H42" s="60"/>
      <c r="I42" s="61"/>
      <c r="J42" s="32"/>
      <c r="L42" s="51"/>
    </row>
    <row r="43" spans="3:13" s="37" customFormat="1">
      <c r="C43" s="58"/>
      <c r="D43" s="55">
        <f>+MAX($D$5:D42)+1</f>
        <v>32</v>
      </c>
      <c r="E43" s="59" t="s">
        <v>234</v>
      </c>
      <c r="F43" s="29" t="s">
        <v>235</v>
      </c>
      <c r="G43" s="60" t="s">
        <v>227</v>
      </c>
      <c r="H43" s="60"/>
      <c r="I43" s="61"/>
      <c r="J43" s="32"/>
      <c r="L43" s="51"/>
    </row>
    <row r="44" spans="3:13" s="37" customFormat="1">
      <c r="C44" s="58"/>
      <c r="D44" s="55">
        <f>+MAX($D$5:D43)+1</f>
        <v>33</v>
      </c>
      <c r="E44" s="59" t="s">
        <v>237</v>
      </c>
      <c r="F44" s="29" t="s">
        <v>235</v>
      </c>
      <c r="G44" s="60" t="s">
        <v>227</v>
      </c>
      <c r="H44" s="60"/>
      <c r="I44" s="61"/>
      <c r="J44" s="32"/>
      <c r="L44" s="51"/>
    </row>
    <row r="45" spans="3:13" s="37" customFormat="1">
      <c r="C45" s="58"/>
      <c r="D45" s="55">
        <f>+MAX($D$5:D44)+1</f>
        <v>34</v>
      </c>
      <c r="E45" s="59" t="s">
        <v>238</v>
      </c>
      <c r="F45" s="29" t="s">
        <v>235</v>
      </c>
      <c r="G45" s="60" t="s">
        <v>227</v>
      </c>
      <c r="H45" s="60"/>
      <c r="I45" s="61"/>
      <c r="J45" s="32"/>
      <c r="L45" s="51"/>
    </row>
    <row r="46" spans="3:13" s="37" customFormat="1">
      <c r="C46" s="58"/>
      <c r="D46" s="55">
        <f>+MAX($D$5:D45)+1</f>
        <v>35</v>
      </c>
      <c r="E46" s="52" t="s">
        <v>198</v>
      </c>
      <c r="F46" s="53" t="s">
        <v>198</v>
      </c>
      <c r="G46" s="46" t="s">
        <v>198</v>
      </c>
      <c r="H46" s="60"/>
      <c r="I46" s="61"/>
      <c r="J46" s="32"/>
      <c r="L46" s="51"/>
    </row>
    <row r="47" spans="3:13" s="37" customFormat="1">
      <c r="C47" s="58"/>
      <c r="D47" s="55">
        <f>+MAX($D$5:D46)+1</f>
        <v>36</v>
      </c>
      <c r="E47" s="44" t="s">
        <v>198</v>
      </c>
      <c r="F47" s="45" t="s">
        <v>198</v>
      </c>
      <c r="G47" s="45" t="s">
        <v>198</v>
      </c>
      <c r="H47" s="60"/>
      <c r="I47" s="61"/>
      <c r="J47" s="32"/>
      <c r="L47" s="51"/>
    </row>
    <row r="48" spans="3:13" s="37" customFormat="1">
      <c r="C48" s="58"/>
      <c r="D48" s="55">
        <f>+MAX($D$5:D47)+1</f>
        <v>37</v>
      </c>
      <c r="E48" s="59" t="s">
        <v>240</v>
      </c>
      <c r="F48" s="60" t="s">
        <v>235</v>
      </c>
      <c r="G48" s="60" t="s">
        <v>227</v>
      </c>
      <c r="H48" s="60"/>
      <c r="I48" s="61"/>
      <c r="J48" s="32"/>
      <c r="L48" s="51"/>
    </row>
    <row r="49" spans="3:12" s="37" customFormat="1">
      <c r="C49" s="58"/>
      <c r="D49" s="55">
        <f>+MAX($D$5:D48)+1</f>
        <v>38</v>
      </c>
      <c r="E49" s="59" t="s">
        <v>242</v>
      </c>
      <c r="F49" s="29" t="s">
        <v>235</v>
      </c>
      <c r="G49" s="60" t="s">
        <v>227</v>
      </c>
      <c r="H49" s="60"/>
      <c r="I49" s="61"/>
      <c r="J49" s="32"/>
      <c r="L49" s="51"/>
    </row>
    <row r="50" spans="3:12" s="37" customFormat="1">
      <c r="C50" s="58"/>
      <c r="D50" s="55">
        <f>+MAX($D$5:D49)+1</f>
        <v>39</v>
      </c>
      <c r="E50" s="59" t="s">
        <v>243</v>
      </c>
      <c r="F50" s="29" t="s">
        <v>235</v>
      </c>
      <c r="G50" s="60" t="s">
        <v>227</v>
      </c>
      <c r="H50" s="60"/>
      <c r="I50" s="61"/>
      <c r="J50" s="32"/>
      <c r="L50" s="51"/>
    </row>
    <row r="51" spans="3:12" s="37" customFormat="1">
      <c r="C51" s="58"/>
      <c r="D51" s="55">
        <f>+MAX($D$5:D50)+1</f>
        <v>40</v>
      </c>
      <c r="E51" s="59" t="s">
        <v>244</v>
      </c>
      <c r="F51" s="29" t="s">
        <v>235</v>
      </c>
      <c r="G51" s="60" t="s">
        <v>227</v>
      </c>
      <c r="H51" s="60"/>
      <c r="I51" s="61"/>
      <c r="J51" s="32"/>
      <c r="L51" s="51"/>
    </row>
    <row r="52" spans="3:12" s="37" customFormat="1">
      <c r="C52" s="58"/>
      <c r="D52" s="55">
        <f>+MAX($D$5:D51)+1</f>
        <v>41</v>
      </c>
      <c r="E52" s="59" t="s">
        <v>245</v>
      </c>
      <c r="F52" s="29" t="s">
        <v>235</v>
      </c>
      <c r="G52" s="60" t="s">
        <v>227</v>
      </c>
      <c r="H52" s="60"/>
      <c r="I52" s="61"/>
      <c r="J52" s="32"/>
      <c r="L52" s="51"/>
    </row>
    <row r="53" spans="3:12" s="37" customFormat="1">
      <c r="C53" s="58"/>
      <c r="D53" s="55">
        <f>+MAX($D$5:D52)+1</f>
        <v>42</v>
      </c>
      <c r="E53" s="59" t="s">
        <v>246</v>
      </c>
      <c r="F53" s="29" t="s">
        <v>235</v>
      </c>
      <c r="G53" s="60" t="s">
        <v>227</v>
      </c>
      <c r="H53" s="60"/>
      <c r="I53" s="61"/>
      <c r="J53" s="32"/>
      <c r="L53" s="51"/>
    </row>
    <row r="54" spans="3:12" s="37" customFormat="1">
      <c r="C54" s="58"/>
      <c r="D54" s="55">
        <f>+MAX($D$5:D53)+1</f>
        <v>43</v>
      </c>
      <c r="E54" s="59" t="s">
        <v>247</v>
      </c>
      <c r="F54" s="29" t="s">
        <v>235</v>
      </c>
      <c r="G54" s="60" t="s">
        <v>227</v>
      </c>
      <c r="H54" s="60"/>
      <c r="I54" s="61"/>
      <c r="J54" s="32"/>
      <c r="L54" s="51"/>
    </row>
    <row r="55" spans="3:12" s="37" customFormat="1">
      <c r="C55" s="58"/>
      <c r="D55" s="55">
        <f>+MAX($D$5:D54)+1</f>
        <v>44</v>
      </c>
      <c r="E55" s="59" t="s">
        <v>248</v>
      </c>
      <c r="F55" s="29" t="s">
        <v>235</v>
      </c>
      <c r="G55" s="60" t="s">
        <v>227</v>
      </c>
      <c r="H55" s="60"/>
      <c r="I55" s="61"/>
      <c r="J55" s="32"/>
      <c r="L55" s="51"/>
    </row>
    <row r="56" spans="3:12" s="37" customFormat="1">
      <c r="C56" s="58"/>
      <c r="D56" s="55">
        <f>+MAX($D$5:D55)+1</f>
        <v>45</v>
      </c>
      <c r="E56" s="59" t="s">
        <v>249</v>
      </c>
      <c r="F56" s="29" t="s">
        <v>235</v>
      </c>
      <c r="G56" s="60" t="s">
        <v>227</v>
      </c>
      <c r="H56" s="60"/>
      <c r="I56" s="61"/>
      <c r="J56" s="32"/>
      <c r="L56" s="51"/>
    </row>
    <row r="57" spans="3:12" s="37" customFormat="1">
      <c r="C57" s="58"/>
      <c r="D57" s="55">
        <f>+MAX($D$5:D56)+1</f>
        <v>46</v>
      </c>
      <c r="E57" s="59" t="s">
        <v>250</v>
      </c>
      <c r="F57" s="29" t="s">
        <v>235</v>
      </c>
      <c r="G57" s="60" t="s">
        <v>227</v>
      </c>
      <c r="H57" s="60"/>
      <c r="I57" s="61"/>
      <c r="J57" s="32"/>
      <c r="L57" s="51"/>
    </row>
    <row r="58" spans="3:12" s="37" customFormat="1">
      <c r="C58" s="58"/>
      <c r="D58" s="55">
        <f>+MAX($D$5:D57)+1</f>
        <v>47</v>
      </c>
      <c r="E58" s="59" t="s">
        <v>251</v>
      </c>
      <c r="F58" s="29" t="s">
        <v>235</v>
      </c>
      <c r="G58" s="60" t="s">
        <v>227</v>
      </c>
      <c r="H58" s="60"/>
      <c r="I58" s="61"/>
      <c r="J58" s="32"/>
      <c r="L58" s="51"/>
    </row>
    <row r="59" spans="3:12" s="37" customFormat="1">
      <c r="C59" s="58"/>
      <c r="D59" s="55">
        <f>+MAX($D$5:D58)+1</f>
        <v>48</v>
      </c>
      <c r="E59" s="59" t="s">
        <v>252</v>
      </c>
      <c r="F59" s="29" t="s">
        <v>235</v>
      </c>
      <c r="G59" s="60" t="s">
        <v>227</v>
      </c>
      <c r="H59" s="60"/>
      <c r="I59" s="61"/>
      <c r="J59" s="32"/>
      <c r="L59" s="51"/>
    </row>
    <row r="60" spans="3:12">
      <c r="C60" s="58"/>
      <c r="D60" s="55">
        <f>+MAX($D$5:D59)+1</f>
        <v>49</v>
      </c>
      <c r="E60" s="44" t="s">
        <v>198</v>
      </c>
      <c r="F60" s="45" t="s">
        <v>198</v>
      </c>
      <c r="G60" s="45" t="s">
        <v>198</v>
      </c>
      <c r="H60" s="60"/>
      <c r="I60" s="61"/>
      <c r="J60" s="32"/>
      <c r="L60" s="51"/>
    </row>
    <row r="61" spans="3:12">
      <c r="C61" s="58"/>
      <c r="D61" s="62" t="s">
        <v>253</v>
      </c>
      <c r="E61" s="63"/>
      <c r="F61" s="64"/>
      <c r="G61" s="65"/>
      <c r="H61" s="65"/>
      <c r="I61" s="63"/>
      <c r="J61" s="32"/>
      <c r="L61" s="51"/>
    </row>
    <row r="62" spans="3:12" s="37" customFormat="1">
      <c r="C62" s="58"/>
      <c r="D62" s="55">
        <f>+MAX($D$5:D60)+1</f>
        <v>50</v>
      </c>
      <c r="E62" s="59" t="s">
        <v>255</v>
      </c>
      <c r="F62" s="29" t="s">
        <v>235</v>
      </c>
      <c r="G62" s="60" t="s">
        <v>227</v>
      </c>
      <c r="H62" s="60"/>
      <c r="I62" s="61"/>
      <c r="J62" s="32"/>
      <c r="L62" s="51"/>
    </row>
    <row r="63" spans="3:12" s="37" customFormat="1">
      <c r="C63" s="58"/>
      <c r="D63" s="55">
        <f>+MAX($D$5:D62)+1</f>
        <v>51</v>
      </c>
      <c r="E63" s="59" t="s">
        <v>256</v>
      </c>
      <c r="F63" s="29" t="s">
        <v>235</v>
      </c>
      <c r="G63" s="60" t="s">
        <v>227</v>
      </c>
      <c r="H63" s="60"/>
      <c r="I63" s="61"/>
      <c r="J63" s="32"/>
      <c r="L63" s="51"/>
    </row>
    <row r="64" spans="3:12" s="37" customFormat="1">
      <c r="C64" s="58"/>
      <c r="D64" s="55">
        <f>+MAX($D$5:D63)+1</f>
        <v>52</v>
      </c>
      <c r="E64" s="59" t="s">
        <v>257</v>
      </c>
      <c r="F64" s="29" t="s">
        <v>235</v>
      </c>
      <c r="G64" s="60"/>
      <c r="H64" s="60"/>
      <c r="I64" s="61"/>
      <c r="J64" s="32"/>
      <c r="L64" s="51"/>
    </row>
    <row r="65" spans="3:13" s="37" customFormat="1">
      <c r="C65" s="58"/>
      <c r="D65" s="55">
        <f>+MAX($D$5:D64)+1</f>
        <v>53</v>
      </c>
      <c r="E65" s="59" t="s">
        <v>258</v>
      </c>
      <c r="F65" s="29" t="s">
        <v>235</v>
      </c>
      <c r="G65" s="60" t="s">
        <v>227</v>
      </c>
      <c r="H65" s="60"/>
      <c r="I65" s="61"/>
      <c r="J65" s="32"/>
      <c r="L65" s="51"/>
    </row>
    <row r="66" spans="3:13" s="37" customFormat="1">
      <c r="C66" s="58"/>
      <c r="D66" s="55">
        <f>+MAX($D$5:D65)+1</f>
        <v>54</v>
      </c>
      <c r="E66" s="59" t="s">
        <v>259</v>
      </c>
      <c r="F66" s="29" t="s">
        <v>235</v>
      </c>
      <c r="G66" s="60" t="s">
        <v>227</v>
      </c>
      <c r="H66" s="60"/>
      <c r="I66" s="61"/>
      <c r="J66" s="32"/>
      <c r="L66" s="51"/>
    </row>
    <row r="67" spans="3:13" s="37" customFormat="1">
      <c r="C67" s="58"/>
      <c r="D67" s="55">
        <f>+MAX($D$5:D66)+1</f>
        <v>55</v>
      </c>
      <c r="E67" s="59" t="s">
        <v>261</v>
      </c>
      <c r="F67" s="29" t="s">
        <v>235</v>
      </c>
      <c r="G67" s="60"/>
      <c r="H67" s="60"/>
      <c r="I67" s="61"/>
      <c r="J67" s="32"/>
      <c r="L67" s="51"/>
    </row>
    <row r="68" spans="3:13" s="37" customFormat="1">
      <c r="C68" s="58"/>
      <c r="D68" s="55">
        <f>+MAX($D$5:D67)+1</f>
        <v>56</v>
      </c>
      <c r="E68" s="59" t="s">
        <v>263</v>
      </c>
      <c r="F68" s="29" t="s">
        <v>235</v>
      </c>
      <c r="G68" s="60" t="s">
        <v>227</v>
      </c>
      <c r="H68" s="60"/>
      <c r="I68" s="61"/>
      <c r="J68" s="32"/>
      <c r="L68" s="51"/>
    </row>
    <row r="69" spans="3:13" s="37" customFormat="1">
      <c r="C69" s="58"/>
      <c r="D69" s="55">
        <f>+MAX($D$5:D68)+1</f>
        <v>57</v>
      </c>
      <c r="E69" s="59" t="s">
        <v>264</v>
      </c>
      <c r="F69" s="29" t="s">
        <v>235</v>
      </c>
      <c r="G69" s="60" t="s">
        <v>227</v>
      </c>
      <c r="H69" s="60"/>
      <c r="I69" s="61"/>
      <c r="J69" s="32"/>
      <c r="L69" s="51"/>
    </row>
    <row r="70" spans="3:13" s="37" customFormat="1">
      <c r="C70" s="58"/>
      <c r="D70" s="55">
        <f>+MAX($D$5:D69)+1</f>
        <v>58</v>
      </c>
      <c r="E70" s="59" t="s">
        <v>266</v>
      </c>
      <c r="F70" s="29" t="s">
        <v>235</v>
      </c>
      <c r="G70" s="60" t="s">
        <v>227</v>
      </c>
      <c r="H70" s="60"/>
      <c r="I70" s="61"/>
      <c r="J70" s="32"/>
      <c r="L70" s="51"/>
    </row>
    <row r="71" spans="3:13" s="37" customFormat="1">
      <c r="C71" s="58"/>
      <c r="D71" s="55">
        <f>+MAX($D$5:D70)+1</f>
        <v>59</v>
      </c>
      <c r="E71" s="59" t="s">
        <v>268</v>
      </c>
      <c r="F71" s="29" t="s">
        <v>235</v>
      </c>
      <c r="G71" s="60" t="s">
        <v>227</v>
      </c>
      <c r="H71" s="60"/>
      <c r="I71" s="61"/>
      <c r="J71" s="32"/>
      <c r="L71" s="51"/>
    </row>
    <row r="72" spans="3:13">
      <c r="C72" s="29"/>
      <c r="D72" s="23" t="s">
        <v>271</v>
      </c>
      <c r="E72" s="24"/>
      <c r="F72" s="24"/>
      <c r="G72" s="24"/>
      <c r="H72" s="24"/>
      <c r="I72" s="25"/>
      <c r="J72" s="32"/>
      <c r="L72" s="51"/>
    </row>
    <row r="73" spans="3:13">
      <c r="C73" s="66"/>
      <c r="D73" s="29">
        <f>+MAX($D$5:D71)+1</f>
        <v>60</v>
      </c>
      <c r="E73" s="30" t="s">
        <v>273</v>
      </c>
      <c r="F73" s="60" t="s">
        <v>235</v>
      </c>
      <c r="G73" s="29" t="s">
        <v>274</v>
      </c>
      <c r="H73" s="67"/>
      <c r="I73" s="31"/>
      <c r="J73" s="68"/>
      <c r="L73" s="51"/>
    </row>
    <row r="74" spans="3:13">
      <c r="C74" s="66"/>
      <c r="D74" s="55">
        <f>+MAX($D$5:D73)+1</f>
        <v>61</v>
      </c>
      <c r="E74" s="30" t="s">
        <v>276</v>
      </c>
      <c r="F74" s="60" t="s">
        <v>235</v>
      </c>
      <c r="G74" s="29" t="s">
        <v>274</v>
      </c>
      <c r="H74" s="67"/>
      <c r="I74" s="31"/>
      <c r="J74" s="68"/>
      <c r="L74" s="51"/>
    </row>
    <row r="75" spans="3:13">
      <c r="C75" s="66"/>
      <c r="D75" s="55">
        <f>+MAX($D$5:D74)+1</f>
        <v>62</v>
      </c>
      <c r="E75" s="30" t="s">
        <v>278</v>
      </c>
      <c r="F75" s="60" t="s">
        <v>235</v>
      </c>
      <c r="G75" s="29" t="s">
        <v>274</v>
      </c>
      <c r="H75" s="67"/>
      <c r="I75" s="31"/>
      <c r="J75" s="68"/>
      <c r="L75" s="51"/>
    </row>
    <row r="76" spans="3:13">
      <c r="C76" s="66"/>
      <c r="D76" s="55">
        <f>+MAX($D$5:D75)+1</f>
        <v>63</v>
      </c>
      <c r="E76" s="30" t="s">
        <v>280</v>
      </c>
      <c r="F76" s="60" t="s">
        <v>235</v>
      </c>
      <c r="G76" s="29" t="s">
        <v>274</v>
      </c>
      <c r="H76" s="67"/>
      <c r="I76" s="31"/>
      <c r="J76" s="68"/>
      <c r="L76" s="51"/>
    </row>
    <row r="77" spans="3:13">
      <c r="C77" s="66"/>
      <c r="D77" s="55">
        <f>+MAX($D$5:D76)+1</f>
        <v>64</v>
      </c>
      <c r="E77" s="30" t="s">
        <v>281</v>
      </c>
      <c r="F77" s="60" t="s">
        <v>235</v>
      </c>
      <c r="G77" s="29" t="s">
        <v>274</v>
      </c>
      <c r="H77" s="67"/>
      <c r="I77" s="31"/>
      <c r="J77" s="68"/>
      <c r="L77" s="51"/>
    </row>
    <row r="78" spans="3:13">
      <c r="C78" s="66"/>
      <c r="D78" s="55">
        <f>+MAX($D$5:D77)+1</f>
        <v>65</v>
      </c>
      <c r="E78" s="30" t="s">
        <v>283</v>
      </c>
      <c r="F78" s="60" t="s">
        <v>235</v>
      </c>
      <c r="G78" s="29" t="s">
        <v>274</v>
      </c>
      <c r="H78" s="67"/>
      <c r="I78" s="31"/>
      <c r="J78" s="68"/>
      <c r="L78" s="51"/>
    </row>
    <row r="79" spans="3:13">
      <c r="C79" s="66"/>
      <c r="D79" s="55">
        <f>+MAX($D$5:D78)+1</f>
        <v>66</v>
      </c>
      <c r="E79" s="30" t="s">
        <v>284</v>
      </c>
      <c r="F79" s="60" t="s">
        <v>235</v>
      </c>
      <c r="G79" s="29" t="s">
        <v>274</v>
      </c>
      <c r="H79" s="67"/>
      <c r="I79" s="31"/>
      <c r="J79" s="68"/>
      <c r="L79" s="51"/>
    </row>
    <row r="80" spans="3:13">
      <c r="C80" s="22"/>
      <c r="D80" s="23" t="s">
        <v>285</v>
      </c>
      <c r="E80" s="24"/>
      <c r="F80" s="24"/>
      <c r="G80" s="24"/>
      <c r="H80" s="24"/>
      <c r="I80" s="25"/>
      <c r="J80" s="26"/>
      <c r="L80" s="27"/>
      <c r="M80" s="21"/>
    </row>
    <row r="81" spans="3:12" s="37" customFormat="1">
      <c r="C81" s="28"/>
      <c r="D81" s="29">
        <f>+MAX($D$5:D80)+1</f>
        <v>67</v>
      </c>
      <c r="E81" s="69" t="s">
        <v>287</v>
      </c>
      <c r="F81" s="29" t="s">
        <v>35</v>
      </c>
      <c r="G81" s="29" t="s">
        <v>288</v>
      </c>
      <c r="H81" s="29"/>
      <c r="I81" s="70"/>
      <c r="J81" s="32"/>
      <c r="L81" s="51"/>
    </row>
    <row r="82" spans="3:12" s="37" customFormat="1">
      <c r="C82" s="28"/>
      <c r="D82" s="55">
        <f>+MAX($D$5:D81)+1</f>
        <v>68</v>
      </c>
      <c r="E82" s="69" t="s">
        <v>290</v>
      </c>
      <c r="F82" s="29" t="s">
        <v>35</v>
      </c>
      <c r="G82" s="29" t="s">
        <v>288</v>
      </c>
      <c r="H82" s="29"/>
      <c r="I82" s="70"/>
      <c r="J82" s="32"/>
      <c r="L82" s="51"/>
    </row>
    <row r="83" spans="3:12" s="37" customFormat="1">
      <c r="C83" s="28"/>
      <c r="D83" s="55">
        <f>+MAX($D$5:D82)+1</f>
        <v>69</v>
      </c>
      <c r="E83" s="69" t="s">
        <v>291</v>
      </c>
      <c r="F83" s="29" t="s">
        <v>35</v>
      </c>
      <c r="G83" s="29" t="s">
        <v>288</v>
      </c>
      <c r="H83" s="29"/>
      <c r="I83" s="70"/>
      <c r="J83" s="32"/>
      <c r="L83" s="51"/>
    </row>
    <row r="84" spans="3:12" s="37" customFormat="1">
      <c r="C84" s="28"/>
      <c r="D84" s="55">
        <f>+MAX($D$5:D83)+1</f>
        <v>70</v>
      </c>
      <c r="E84" s="69" t="s">
        <v>292</v>
      </c>
      <c r="F84" s="29" t="s">
        <v>35</v>
      </c>
      <c r="G84" s="29" t="s">
        <v>288</v>
      </c>
      <c r="H84" s="29"/>
      <c r="I84" s="70"/>
      <c r="J84" s="32"/>
      <c r="L84" s="51"/>
    </row>
    <row r="85" spans="3:12" s="37" customFormat="1">
      <c r="C85" s="28"/>
      <c r="D85" s="55">
        <f>+MAX($D$5:D84)+1</f>
        <v>71</v>
      </c>
      <c r="E85" s="69" t="s">
        <v>293</v>
      </c>
      <c r="F85" s="29" t="s">
        <v>35</v>
      </c>
      <c r="G85" s="29" t="s">
        <v>288</v>
      </c>
      <c r="H85" s="29"/>
      <c r="I85" s="70"/>
      <c r="J85" s="32"/>
      <c r="L85" s="51"/>
    </row>
    <row r="86" spans="3:12" s="37" customFormat="1">
      <c r="C86" s="28"/>
      <c r="D86" s="55">
        <f>+MAX($D$5:D85)+1</f>
        <v>72</v>
      </c>
      <c r="E86" s="69" t="s">
        <v>294</v>
      </c>
      <c r="F86" s="29" t="s">
        <v>35</v>
      </c>
      <c r="G86" s="29" t="s">
        <v>288</v>
      </c>
      <c r="H86" s="29"/>
      <c r="I86" s="70"/>
      <c r="J86" s="32"/>
      <c r="L86" s="51"/>
    </row>
    <row r="87" spans="3:12" s="37" customFormat="1">
      <c r="C87" s="28"/>
      <c r="D87" s="55">
        <f>+MAX($D$5:D86)+1</f>
        <v>73</v>
      </c>
      <c r="E87" s="69" t="s">
        <v>296</v>
      </c>
      <c r="F87" s="29" t="s">
        <v>35</v>
      </c>
      <c r="G87" s="29" t="s">
        <v>288</v>
      </c>
      <c r="H87" s="29"/>
      <c r="I87" s="70"/>
      <c r="J87" s="32"/>
      <c r="L87" s="51"/>
    </row>
    <row r="88" spans="3:12" s="37" customFormat="1">
      <c r="C88" s="28"/>
      <c r="D88" s="55">
        <f>+MAX($D$5:D87)+1</f>
        <v>74</v>
      </c>
      <c r="E88" s="69" t="s">
        <v>297</v>
      </c>
      <c r="F88" s="29" t="s">
        <v>35</v>
      </c>
      <c r="G88" s="29" t="s">
        <v>288</v>
      </c>
      <c r="H88" s="29"/>
      <c r="I88" s="70"/>
      <c r="J88" s="32"/>
      <c r="L88" s="51"/>
    </row>
    <row r="89" spans="3:12" s="37" customFormat="1">
      <c r="C89" s="28"/>
      <c r="D89" s="55">
        <f>+MAX($D$5:D88)+1</f>
        <v>75</v>
      </c>
      <c r="E89" s="69" t="s">
        <v>298</v>
      </c>
      <c r="F89" s="29" t="s">
        <v>35</v>
      </c>
      <c r="G89" s="29" t="s">
        <v>288</v>
      </c>
      <c r="H89" s="29"/>
      <c r="I89" s="70"/>
      <c r="J89" s="32"/>
      <c r="L89" s="51"/>
    </row>
    <row r="90" spans="3:12" s="37" customFormat="1">
      <c r="C90" s="28"/>
      <c r="D90" s="55">
        <f>+MAX($D$5:D89)+1</f>
        <v>76</v>
      </c>
      <c r="E90" s="69" t="s">
        <v>299</v>
      </c>
      <c r="F90" s="29" t="s">
        <v>35</v>
      </c>
      <c r="G90" s="29" t="s">
        <v>288</v>
      </c>
      <c r="H90" s="29"/>
      <c r="I90" s="70"/>
      <c r="J90" s="32"/>
      <c r="L90" s="51"/>
    </row>
    <row r="96" spans="3:12">
      <c r="E96" s="1"/>
    </row>
    <row r="97" spans="5:5">
      <c r="E97" s="1"/>
    </row>
    <row r="98" spans="5:5">
      <c r="E98" s="1"/>
    </row>
    <row r="99" spans="5:5">
      <c r="E99" s="1"/>
    </row>
    <row r="100" spans="5:5">
      <c r="E100" s="1"/>
    </row>
    <row r="101" spans="5:5">
      <c r="E101" s="1"/>
    </row>
    <row r="102" spans="5:5">
      <c r="E102" s="1"/>
    </row>
    <row r="103" spans="5:5">
      <c r="E103" s="1"/>
    </row>
    <row r="104" spans="5:5">
      <c r="E104" s="1"/>
    </row>
    <row r="105" spans="5:5">
      <c r="E105" s="1"/>
    </row>
    <row r="106" spans="5:5">
      <c r="E106" s="1"/>
    </row>
    <row r="107" spans="5:5">
      <c r="E107" s="6"/>
    </row>
    <row r="108" spans="5:5">
      <c r="E108" s="6"/>
    </row>
    <row r="109" spans="5:5">
      <c r="E109" s="6"/>
    </row>
    <row r="110" spans="5:5">
      <c r="E110" s="6"/>
    </row>
    <row r="111" spans="5:5">
      <c r="E111" s="6"/>
    </row>
    <row r="112" spans="5:5">
      <c r="E112" s="6"/>
    </row>
    <row r="113" spans="5:5">
      <c r="E113" s="6"/>
    </row>
    <row r="114" spans="5:5">
      <c r="E114" s="6"/>
    </row>
    <row r="115" spans="5:5">
      <c r="E115" s="6"/>
    </row>
    <row r="65527" spans="10:10">
      <c r="J65527" s="1" t="s">
        <v>177</v>
      </c>
    </row>
  </sheetData>
  <pageMargins left="0.01" right="0.01" top="0.01" bottom="0.01" header="0" footer="0"/>
  <pageSetup scale="55" orientation="portrait" r:id="rId1"/>
  <headerFooter alignWithMargins="0">
    <oddFooter>&amp;L&amp;Z&amp;F&amp;R&amp;D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EF3F5F7D698B429E3C9E40D3B92D17" ma:contentTypeVersion="9" ma:contentTypeDescription="Create a new document." ma:contentTypeScope="" ma:versionID="30c100211290ef2cd07a17ba23df46f2">
  <xsd:schema xmlns:xsd="http://www.w3.org/2001/XMLSchema" xmlns:xs="http://www.w3.org/2001/XMLSchema" xmlns:p="http://schemas.microsoft.com/office/2006/metadata/properties" xmlns:ns2="36a651bd-4f66-4321-912f-bdcd1a0fbab6" targetNamespace="http://schemas.microsoft.com/office/2006/metadata/properties" ma:root="true" ma:fieldsID="54f6fc1c8bb46477590143f092c72114" ns2:_="">
    <xsd:import namespace="36a651bd-4f66-4321-912f-bdcd1a0fba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a651bd-4f66-4321-912f-bdcd1a0fba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ed9b5f4-e871-4377-8462-0b68897c837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a651bd-4f66-4321-912f-bdcd1a0fba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4EE2DD-9435-4867-B470-586D6F4690B4}"/>
</file>

<file path=customXml/itemProps2.xml><?xml version="1.0" encoding="utf-8"?>
<ds:datastoreItem xmlns:ds="http://schemas.openxmlformats.org/officeDocument/2006/customXml" ds:itemID="{BF8930DD-1600-43FF-A813-4E5AAEB85D4D}"/>
</file>

<file path=customXml/itemProps3.xml><?xml version="1.0" encoding="utf-8"?>
<ds:datastoreItem xmlns:ds="http://schemas.openxmlformats.org/officeDocument/2006/customXml" ds:itemID="{DA8C9E9B-BCD1-4BA2-A782-5818EBC8DF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Schultz</dc:creator>
  <cp:keywords/>
  <dc:description/>
  <cp:lastModifiedBy/>
  <cp:revision/>
  <dcterms:created xsi:type="dcterms:W3CDTF">2025-12-01T21:16:28Z</dcterms:created>
  <dcterms:modified xsi:type="dcterms:W3CDTF">2026-07-14T22:22:23Z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0x01010053EF3F5F7D698B429E3C9E40D3B92D17</vt:lpwstr>
  </property>
</Properties>
</file>